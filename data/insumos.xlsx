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ocumentos/GERARDO/2025/estru_techos/fuentes/"/>
    </mc:Choice>
  </mc:AlternateContent>
  <xr:revisionPtr revIDLastSave="0" documentId="8_{195C1384-991D-FC4E-98AA-A6FFB5CEF7F8}" xr6:coauthVersionLast="47" xr6:coauthVersionMax="47" xr10:uidLastSave="{00000000-0000-0000-0000-000000000000}"/>
  <bookViews>
    <workbookView xWindow="680" yWindow="1000" windowWidth="27240" windowHeight="15420" activeTab="2" xr2:uid="{B0B080F3-BD3C-574A-AF71-70F4084B5DFD}"/>
  </bookViews>
  <sheets>
    <sheet name="presupuesto" sheetId="1" r:id="rId1"/>
    <sheet name="apus" sheetId="2" r:id="rId2"/>
    <sheet name="insum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4" i="1" l="1"/>
  <c r="G545" i="1" s="1"/>
  <c r="G547" i="1" l="1"/>
  <c r="G548" i="1" s="1"/>
</calcChain>
</file>

<file path=xl/sharedStrings.xml><?xml version="1.0" encoding="utf-8"?>
<sst xmlns="http://schemas.openxmlformats.org/spreadsheetml/2006/main" count="7136" uniqueCount="832">
  <si>
    <t>ITEM</t>
  </si>
  <si>
    <t>DESCRIPCION</t>
  </si>
  <si>
    <t>UND</t>
  </si>
  <si>
    <t>CANT.</t>
  </si>
  <si>
    <t>VR. UNIT</t>
  </si>
  <si>
    <t>VR.TOTAL</t>
  </si>
  <si>
    <r>
      <t xml:space="preserve">REMATE </t>
    </r>
    <r>
      <rPr>
        <b/>
        <sz val="11"/>
        <color rgb="FFFF0000"/>
        <rFont val="Arial"/>
        <family val="2"/>
      </rPr>
      <t>CURVO EN LAMINA 3.05x1.22MTS CAL.22</t>
    </r>
    <r>
      <rPr>
        <b/>
        <sz val="11"/>
        <rFont val="Arial"/>
        <family val="2"/>
      </rPr>
      <t xml:space="preserve"> COSTO INCLUYE IVA</t>
    </r>
  </si>
  <si>
    <t>REMATE CON PINTURA DE FABRICA CAL 22 DE 120 CMTS CURVO</t>
  </si>
  <si>
    <t>ML</t>
  </si>
  <si>
    <t>REMATE CON PINTURA DE FABRICA CAL 22 DE 100 CMTS CURVO</t>
  </si>
  <si>
    <t>REMATE CON PINTURA DE FABRICA CAL 22 DE 80 CMTS CURVO</t>
  </si>
  <si>
    <t>REMATE CON PINTURA DE FABRICA CAL 22 DE 60 CMTS CURVO</t>
  </si>
  <si>
    <t>REMATE CON PINTURA DE FABRICA CAL 22 DE 40 CMTS CURVO</t>
  </si>
  <si>
    <t>REMATE CON PINTURA DE FABRICA CAL 22 DE 30 CMTS CURVO</t>
  </si>
  <si>
    <t>REMATE CON PINTURA DE FABRICA CAL 22 DE 20 CMTS CURVO</t>
  </si>
  <si>
    <t>SUBTOTAL REMATE CURVO EN LAMINA 3.05x1.22MTS CAL.22 COSTO INCLUYE IVA</t>
  </si>
  <si>
    <r>
      <t xml:space="preserve">REMATE </t>
    </r>
    <r>
      <rPr>
        <b/>
        <sz val="11"/>
        <color rgb="FFFF0000"/>
        <rFont val="Arial"/>
        <family val="2"/>
      </rPr>
      <t>CURVO EN LAMINA 3.05x1.22MTS CAL.24</t>
    </r>
    <r>
      <rPr>
        <b/>
        <sz val="11"/>
        <rFont val="Arial"/>
        <family val="2"/>
      </rPr>
      <t xml:space="preserve"> COSTO INCLUYE IVA</t>
    </r>
  </si>
  <si>
    <t>REMATE CON PINTURA DE FABRICA CAL 24 DE 120 CMTS CURVO</t>
  </si>
  <si>
    <t>REMATE CON PINTURA DE FABRICA CAL 24 DE 100 CMTS CURVO</t>
  </si>
  <si>
    <t>REMATE CON PINTURA DE FABRICA CAL 24 DE 80 CMTS CURVO</t>
  </si>
  <si>
    <t>REMATE CON PINTURA DE FABRICA CAL 24 DE 60 CMTS CURVO</t>
  </si>
  <si>
    <t>REMATE CON PINTURA DE FABRICA CAL 24 DE 40 CMTS CURVO</t>
  </si>
  <si>
    <t>REMATE CON PINTURA DE FABRICA CAL 24 DE 30 CMTS CURVO</t>
  </si>
  <si>
    <t>REMATE CON PINTURA DE FABRICA CAL 24 DE 20 CMTS CURVO</t>
  </si>
  <si>
    <t>SUBTOTAL REMATE CURVO EN LAMINA 3.05x1.22MTS CAL.24 COSTO INCLUYE IVA</t>
  </si>
  <si>
    <r>
      <t xml:space="preserve">REMATE </t>
    </r>
    <r>
      <rPr>
        <b/>
        <sz val="11"/>
        <color rgb="FFFF0000"/>
        <rFont val="Arial"/>
        <family val="2"/>
      </rPr>
      <t xml:space="preserve">CURVO CON FLEJE CAL.24 </t>
    </r>
    <r>
      <rPr>
        <b/>
        <sz val="11"/>
        <rFont val="Arial"/>
        <family val="2"/>
      </rPr>
      <t>COSTO INCLUYE IVA</t>
    </r>
  </si>
  <si>
    <r>
      <t xml:space="preserve">REMATE CON PINTURA DE FABRICA CAL 24 DE 60 CMTS </t>
    </r>
    <r>
      <rPr>
        <b/>
        <sz val="10"/>
        <color rgb="FFFF0000"/>
        <rFont val="Arial Narrow"/>
        <family val="2"/>
      </rPr>
      <t>CURVO</t>
    </r>
  </si>
  <si>
    <r>
      <t xml:space="preserve">REMATE CON PINTURA DE FABRICA CAL 24 DE 30 CMTS </t>
    </r>
    <r>
      <rPr>
        <b/>
        <sz val="10"/>
        <color rgb="FFFF0000"/>
        <rFont val="Arial Narrow"/>
        <family val="2"/>
      </rPr>
      <t>CURVO</t>
    </r>
  </si>
  <si>
    <r>
      <t xml:space="preserve">REMATE CON PINTURA DE FABRICA CAL 24 DE 20 CMTS </t>
    </r>
    <r>
      <rPr>
        <b/>
        <sz val="10"/>
        <color rgb="FFFF0000"/>
        <rFont val="Arial Narrow"/>
        <family val="2"/>
      </rPr>
      <t>CURVO</t>
    </r>
  </si>
  <si>
    <t>SUBTOTAL REMATE CURVO CON FLEJE CAL.24 COSTO INCLUYE IVA</t>
  </si>
  <si>
    <r>
      <t xml:space="preserve">REMATE </t>
    </r>
    <r>
      <rPr>
        <b/>
        <sz val="11"/>
        <color rgb="FFFF0000"/>
        <rFont val="Arial"/>
        <family val="2"/>
      </rPr>
      <t xml:space="preserve">CURVO CON FLEJE CAL.26 </t>
    </r>
    <r>
      <rPr>
        <b/>
        <sz val="11"/>
        <rFont val="Arial"/>
        <family val="2"/>
      </rPr>
      <t>COSTO INCLUYE IVA</t>
    </r>
  </si>
  <si>
    <t>REMATE CON PINTURA DE FABRICA CAL 26 DE 80 CMTS CURVO</t>
  </si>
  <si>
    <r>
      <t xml:space="preserve">REMATE CON PINTURA DE FABRICA CAL 26 DE 60 CMTS </t>
    </r>
    <r>
      <rPr>
        <b/>
        <sz val="10"/>
        <color rgb="FFFF0000"/>
        <rFont val="Arial Narrow"/>
        <family val="2"/>
      </rPr>
      <t>CURVO</t>
    </r>
  </si>
  <si>
    <t>REMATE CON PINTURA DE FABRICA CAL 26 DE 40 CMTS CURVO</t>
  </si>
  <si>
    <r>
      <t xml:space="preserve">REMATE CON PINTURA DE FABRICA CAL 26 DE 30 CMTS </t>
    </r>
    <r>
      <rPr>
        <b/>
        <sz val="10"/>
        <color rgb="FFFF0000"/>
        <rFont val="Arial Narrow"/>
        <family val="2"/>
      </rPr>
      <t>CURVO</t>
    </r>
  </si>
  <si>
    <r>
      <t xml:space="preserve">REMATE CON PINTURA DE FABRICA CAL 26 DE 20 CMTS </t>
    </r>
    <r>
      <rPr>
        <b/>
        <sz val="10"/>
        <color rgb="FFFF0000"/>
        <rFont val="Arial Narrow"/>
        <family val="2"/>
      </rPr>
      <t>CURVO</t>
    </r>
  </si>
  <si>
    <t>SUBTOTAL</t>
  </si>
  <si>
    <r>
      <t xml:space="preserve">REMATE EN </t>
    </r>
    <r>
      <rPr>
        <b/>
        <sz val="11"/>
        <color rgb="FFFF0000"/>
        <rFont val="Arial"/>
        <family val="2"/>
      </rPr>
      <t>LAMINA 3.05x1.22MTS CAL.22</t>
    </r>
    <r>
      <rPr>
        <b/>
        <sz val="11"/>
        <rFont val="Arial"/>
        <family val="2"/>
      </rPr>
      <t xml:space="preserve"> COSTO INCLUYE IVA</t>
    </r>
  </si>
  <si>
    <t>REMATE CON PINTURA DE FABRICA CAL 22 DE 120 CMTS</t>
  </si>
  <si>
    <t>REMATE CON PINTURA DE FABRICA CAL 22 DE 100 CMTS</t>
  </si>
  <si>
    <t>REMATE CON PINTURA DE FABRICA CAL 22 DE 80 CMTS</t>
  </si>
  <si>
    <t xml:space="preserve">REMATE CON PINTURA DE FABRICA CAL 22 DE 60 CMTS </t>
  </si>
  <si>
    <t xml:space="preserve">REMATE CON PINTURA DE FABRICA CAL 22 DE 40 CMTS </t>
  </si>
  <si>
    <t xml:space="preserve">REMATE CON PINTURA DE FABRICA CAL 22 DE 30 CMTS </t>
  </si>
  <si>
    <t xml:space="preserve">REMATE CON PINTURA DE FABRICA CAL 22 DE 20 CMTS </t>
  </si>
  <si>
    <t>SUBTOTAL REMATE EN LAMINA 3.05x1.22MTS CAL.22 COSTO INCLUYE IVA</t>
  </si>
  <si>
    <r>
      <t xml:space="preserve">REMATE EN </t>
    </r>
    <r>
      <rPr>
        <b/>
        <sz val="11"/>
        <color rgb="FFFF0000"/>
        <rFont val="Arial"/>
        <family val="2"/>
      </rPr>
      <t xml:space="preserve">LAMINA 3.05x1.22MTS CAL.24 </t>
    </r>
    <r>
      <rPr>
        <b/>
        <sz val="11"/>
        <rFont val="Arial"/>
        <family val="2"/>
      </rPr>
      <t>COSTO INCLUYE IVA</t>
    </r>
  </si>
  <si>
    <t>REMATE CON PINTURA DE FABRICA CAL 24 DE 120 CMTS</t>
  </si>
  <si>
    <t>REMATE CON PINTURA DE FABRICA CAL 24 DE 100 CMTS</t>
  </si>
  <si>
    <t>REMATE CON PINTURA DE FABRICA CAL 24 DE 80 CMTS</t>
  </si>
  <si>
    <t xml:space="preserve">REMATE CON PINTURA DE FABRICA CAL 24 DE 60 CMTS </t>
  </si>
  <si>
    <t xml:space="preserve">REMATE CON PINTURA DE FABRICA CAL 24 DE 40 CMTS </t>
  </si>
  <si>
    <t xml:space="preserve">REMATE CON PINTURA DE FABRICA CAL 24 DE 30 CMTS </t>
  </si>
  <si>
    <t xml:space="preserve">REMATE CON PINTURA DE FABRICA CAL 24 DE 20 CMTS </t>
  </si>
  <si>
    <t>SUBTOTAL REMATE EN LAMINA 3.05x1.22MTS CAL.24 COSTO INCLUYE IVA</t>
  </si>
  <si>
    <r>
      <t xml:space="preserve">REMATE </t>
    </r>
    <r>
      <rPr>
        <b/>
        <sz val="11"/>
        <color rgb="FFFF0000"/>
        <rFont val="Arial"/>
        <family val="2"/>
      </rPr>
      <t>CAL.24 CON FLEJE</t>
    </r>
    <r>
      <rPr>
        <b/>
        <sz val="11"/>
        <rFont val="Arial"/>
        <family val="2"/>
      </rPr>
      <t xml:space="preserve"> COSTO INCLUYE IVA</t>
    </r>
  </si>
  <si>
    <t>REMATE CON PINTURA DE FABRICA CAL 24 DE 60 CMTS</t>
  </si>
  <si>
    <t>REMATE CON PINTURA DE FABRICA CAL 24 DE 40 CMTS</t>
  </si>
  <si>
    <t>REMATE CON PINTURA DE FABRICA CAL 24 DE 30 CMTS</t>
  </si>
  <si>
    <t>REMATE CON PINTURA DE FABRICA CAL 24 DE 20 CMTS</t>
  </si>
  <si>
    <t>SUBTOTAL REMATE CAL.24 CON FLEJE COSTO INCLUYE IVA</t>
  </si>
  <si>
    <r>
      <t xml:space="preserve">REMATE </t>
    </r>
    <r>
      <rPr>
        <b/>
        <sz val="11"/>
        <color rgb="FFFF0000"/>
        <rFont val="Arial"/>
        <family val="2"/>
      </rPr>
      <t>CAL.26 CON FLEJE</t>
    </r>
    <r>
      <rPr>
        <b/>
        <sz val="11"/>
        <rFont val="Arial"/>
        <family val="2"/>
      </rPr>
      <t xml:space="preserve"> COSTO INCLUYE IVA</t>
    </r>
  </si>
  <si>
    <t>REMATE CON PINTURA DE FABRICA CAL 26 DE 80 CMTS</t>
  </si>
  <si>
    <t xml:space="preserve">REMATE CON PINTURA DE FABRICA CAL 26 DE 60 CMTS </t>
  </si>
  <si>
    <t xml:space="preserve">REMATE CON PINTURA DE FABRICA CAL 26 DE 40 CMTS </t>
  </si>
  <si>
    <t xml:space="preserve">REMATE CON PINTURA DE FABRICA CAL 26 DE 30 CMTS </t>
  </si>
  <si>
    <t xml:space="preserve">REMATE CON PINTURA DE FABRICA CAL 26 DE 20 CMTS </t>
  </si>
  <si>
    <t>SUBTOTAL REMATE CAL.26 CON FLEJE COSTO INCLUYE IVA</t>
  </si>
  <si>
    <r>
      <t xml:space="preserve">INSTALACION DE REMATE + </t>
    </r>
    <r>
      <rPr>
        <b/>
        <sz val="11"/>
        <color rgb="FFFF0000"/>
        <rFont val="Arial"/>
        <family val="2"/>
      </rPr>
      <t>RESIDENTE(33%) Y SISO(100%)</t>
    </r>
  </si>
  <si>
    <t>INSTALACION DE CABALLETE ó LIMATESA</t>
  </si>
  <si>
    <r>
      <t xml:space="preserve">INSTALACION DE SOLAPAS </t>
    </r>
    <r>
      <rPr>
        <b/>
        <sz val="10"/>
        <color rgb="FFFF0000"/>
        <rFont val="Arial Narrow"/>
        <family val="2"/>
      </rPr>
      <t>CON RANURA</t>
    </r>
  </si>
  <si>
    <t>INSTALACION DE SOLAPAS SIN RANURA</t>
  </si>
  <si>
    <t xml:space="preserve">INSTALACION DE GOTERO </t>
  </si>
  <si>
    <t>INSTALACION DE CONTRACABALLETE</t>
  </si>
  <si>
    <t>INSTALACION DE ESQUINERO</t>
  </si>
  <si>
    <t>INSTALACION DE LIMAHOYA</t>
  </si>
  <si>
    <t>SUBTOTAL INSTALACION DE REMATE + RESIDENTE(33%) Y SISO(100%)</t>
  </si>
  <si>
    <r>
      <t xml:space="preserve">INSTALACION DE REMATE </t>
    </r>
    <r>
      <rPr>
        <b/>
        <sz val="11"/>
        <color rgb="FFFF0000"/>
        <rFont val="Arial"/>
        <family val="2"/>
      </rPr>
      <t>CURVO + RESIDENTE(33%) Y SISO(100%)</t>
    </r>
  </si>
  <si>
    <r>
      <t xml:space="preserve">INSTALACION DE CABALLETE ó LIMATESA </t>
    </r>
    <r>
      <rPr>
        <b/>
        <sz val="10"/>
        <color rgb="FFFF0000"/>
        <rFont val="Arial Narrow"/>
        <family val="2"/>
      </rPr>
      <t>CURVO</t>
    </r>
  </si>
  <si>
    <r>
      <t xml:space="preserve">INSTALACION DE SOLAPAS </t>
    </r>
    <r>
      <rPr>
        <b/>
        <sz val="10"/>
        <color rgb="FFFF0000"/>
        <rFont val="Arial Narrow"/>
        <family val="2"/>
      </rPr>
      <t>CON RANURA CURVA</t>
    </r>
  </si>
  <si>
    <r>
      <t xml:space="preserve">INSTALACION DE SOLAPAS SIN RANURA </t>
    </r>
    <r>
      <rPr>
        <b/>
        <sz val="10"/>
        <color rgb="FFFF0000"/>
        <rFont val="Arial Narrow"/>
        <family val="2"/>
      </rPr>
      <t>CURVA</t>
    </r>
  </si>
  <si>
    <r>
      <t xml:space="preserve">INSTALACION DE GOTERO </t>
    </r>
    <r>
      <rPr>
        <b/>
        <sz val="10"/>
        <color rgb="FFFF0000"/>
        <rFont val="Arial Narrow"/>
        <family val="2"/>
      </rPr>
      <t>CURVO</t>
    </r>
  </si>
  <si>
    <r>
      <t xml:space="preserve">INSTALACION DE CONTRACABALLETE </t>
    </r>
    <r>
      <rPr>
        <b/>
        <sz val="10"/>
        <color rgb="FFFF0000"/>
        <rFont val="Arial Narrow"/>
        <family val="2"/>
      </rPr>
      <t>CURVO</t>
    </r>
  </si>
  <si>
    <r>
      <t xml:space="preserve">INSTALACION DE ESQUINERO </t>
    </r>
    <r>
      <rPr>
        <b/>
        <sz val="10"/>
        <color rgb="FFFF0000"/>
        <rFont val="Arial Narrow"/>
        <family val="2"/>
      </rPr>
      <t>CURVO</t>
    </r>
  </si>
  <si>
    <r>
      <t xml:space="preserve">INSTALACION DE LIMAHOYA </t>
    </r>
    <r>
      <rPr>
        <b/>
        <sz val="10"/>
        <color rgb="FFFF0000"/>
        <rFont val="Arial Narrow"/>
        <family val="2"/>
      </rPr>
      <t>CURVA</t>
    </r>
  </si>
  <si>
    <t>SUBTOTAL INSTALACION DE REMATE CURVO + RESIDENTE(33%) Y SISO(100%)</t>
  </si>
  <si>
    <r>
      <t xml:space="preserve">SUMINISTRO DE </t>
    </r>
    <r>
      <rPr>
        <b/>
        <sz val="11"/>
        <color rgb="FFFF0000"/>
        <rFont val="Arial"/>
        <family val="2"/>
      </rPr>
      <t>CANAL CAL.22</t>
    </r>
  </si>
  <si>
    <t>CANAL - SOLO LAMINA CAL 22 DE 120 CMTS</t>
  </si>
  <si>
    <t>CANAL - SOLO LAMINA CAL 22 DE 100 CMTS</t>
  </si>
  <si>
    <t>CANAL - SOLO LAMINA CAL 22 DE 80 CMTS</t>
  </si>
  <si>
    <t>CANAL - SOLO LAMINA CAL 22 DE 60 CMTS</t>
  </si>
  <si>
    <t>SUBTOTAL SUMINISTRO DE CANAL CAL.22</t>
  </si>
  <si>
    <r>
      <t xml:space="preserve">SUMINISTRO DE </t>
    </r>
    <r>
      <rPr>
        <b/>
        <sz val="11"/>
        <color rgb="FFFF0000"/>
        <rFont val="Arial"/>
        <family val="2"/>
      </rPr>
      <t>CANAL CAL.24</t>
    </r>
  </si>
  <si>
    <t>CANAL - SOLO LAMINA CAL 24 DE 120 CMTS</t>
  </si>
  <si>
    <t>CANAL - SOLO LAMINA CAL 24 DE 100 CMTS</t>
  </si>
  <si>
    <t>CANAL - SOLO LAMINA CAL 24 DE 80 CMTS</t>
  </si>
  <si>
    <t>CANAL - SOLO LAMINA CAL 24 DE 60 CMTS</t>
  </si>
  <si>
    <t>SUBTOTAL SUMINISTRO DE CANAL CAL.24</t>
  </si>
  <si>
    <t>INSTALACION DE CANAL</t>
  </si>
  <si>
    <t>CANAL EN LAMINA - MANO DE OBRA Y FORMACION</t>
  </si>
  <si>
    <t>CANAL EN RESINA POLIESTER - MANO DE OBRA Y FORMACION</t>
  </si>
  <si>
    <t>SUBTOTAL INSTALACION DE CANAL</t>
  </si>
  <si>
    <r>
      <rPr>
        <b/>
        <sz val="11"/>
        <color rgb="FFFF0000"/>
        <rFont val="Arial"/>
        <family val="2"/>
      </rPr>
      <t>SUM. APLIC. PROTECCION DE PANEL</t>
    </r>
    <r>
      <rPr>
        <b/>
        <sz val="11"/>
        <rFont val="Arial"/>
        <family val="2"/>
      </rPr>
      <t xml:space="preserve"> CON PINTURA BRONCO</t>
    </r>
  </si>
  <si>
    <t>PROTECCION DE POLIURETANO CON PINTURA BRONCO</t>
  </si>
  <si>
    <t>SUBTOTAL SUM. APLIC. PROTECCION DE PANEL CON PINTURA BRONCO</t>
  </si>
  <si>
    <r>
      <t xml:space="preserve">PLATINADO DE CORREAS EN VARILLA </t>
    </r>
    <r>
      <rPr>
        <b/>
        <sz val="11"/>
        <color rgb="FFFF0000"/>
        <rFont val="Arial"/>
        <family val="2"/>
      </rPr>
      <t>POR METRO CUADRADO (M2)</t>
    </r>
  </si>
  <si>
    <t>SUMINISTRO DE PLATINA 1/8"x1-1/2"</t>
  </si>
  <si>
    <t>M2</t>
  </si>
  <si>
    <t>INSTALACION PLATINADO CORREAS (EJEMPLO: BRAKO 1)</t>
  </si>
  <si>
    <t>SUBTOTAL PLATINADO DE CORREAS EN VARILLA POR METRO CUADRADO (M2)</t>
  </si>
  <si>
    <r>
      <t xml:space="preserve">PLATINADO DE CORREAS EN VARILLA </t>
    </r>
    <r>
      <rPr>
        <b/>
        <sz val="11"/>
        <color rgb="FFFF0000"/>
        <rFont val="Arial"/>
        <family val="2"/>
      </rPr>
      <t>POR METRO LINEAL (ML)</t>
    </r>
  </si>
  <si>
    <t>SUBTOTAL PLATINADO DE CORREAS EN VARILLA POR METRO LINEAL (ML)</t>
  </si>
  <si>
    <r>
      <t>MANO DE OBRA MANTENIMIENTO 2025</t>
    </r>
    <r>
      <rPr>
        <b/>
        <sz val="11"/>
        <color rgb="FFFF0000"/>
        <rFont val="Arial"/>
        <family val="2"/>
      </rPr>
      <t xml:space="preserve"> </t>
    </r>
  </si>
  <si>
    <t>CUADRILLA DE 2 TECHADORES 1 DIA</t>
  </si>
  <si>
    <t>DIA</t>
  </si>
  <si>
    <t>CUADRILLA DE 2 TECHADORES 6 DIAS</t>
  </si>
  <si>
    <t>CUADRILLA DE 2 TECHADORES 1 MES</t>
  </si>
  <si>
    <t>CUADRILLA DE 3 TECHADORES 1 DIA</t>
  </si>
  <si>
    <t>CUADRILLA DE 3 TECHADORES 6 DIAS</t>
  </si>
  <si>
    <t>CUADRILLA DE 3 TECHADORES 1 MES</t>
  </si>
  <si>
    <t>CUADRILLA DE 4 TECHADORES 1 DIA</t>
  </si>
  <si>
    <t>CUADRILLA DE 4 TECHADORES 6 DIAS</t>
  </si>
  <si>
    <t>CUADRILLA DE 4 TECHADORES 1 MES</t>
  </si>
  <si>
    <t xml:space="preserve">SUBTOTAL MANO DE OBRA MANTENIMIENTO 2025 </t>
  </si>
  <si>
    <t>LIMPIEZA CUBIERTA</t>
  </si>
  <si>
    <t>LIMPIEZA DE CUBIERTA CUADRILLA DE 3</t>
  </si>
  <si>
    <t>LIMPIEZA DE CUBIERTA CUADRILLA DE 4</t>
  </si>
  <si>
    <t>SUBTOTAL LIMPIEZA CUBIERTA</t>
  </si>
  <si>
    <t>#</t>
  </si>
  <si>
    <t>ADECUACIÓN DE PINTURA DE CUBIERTA</t>
  </si>
  <si>
    <t>SUBTOTAL ADECUACIÓN DE PINTURA DE CUBIERTA</t>
  </si>
  <si>
    <t>ARMADO Y DESARMADO DE ANDAMIOS CERTIFICADOS DE ACCESO</t>
  </si>
  <si>
    <t>ARMADO Y DESARMADO DE ANDAMIOS 1 CUERPO H=2.00MT</t>
  </si>
  <si>
    <t>ARMADO Y DESARMADO DE ANDAMIOS 2 CUERPOS H=4.00MT</t>
  </si>
  <si>
    <t>ARMADO Y DESARMADO DE ANDAMIOS 3 CUERPOS H=6.00MT</t>
  </si>
  <si>
    <t>ARMADO Y DESARMADO DE ANDAMIOS 4 CUERPOS H=8.00MT</t>
  </si>
  <si>
    <t>ARMADO Y DESARMADO DE ANDAMIOS 5 CUERPOS H=10.00MT</t>
  </si>
  <si>
    <t>SUBTOTAL ARMADO Y DESARMADO DE ANDAMIOS CERTIFICADOS DE ACCESO</t>
  </si>
  <si>
    <t>SUMINISTRO DE ANDAMIOS CERTIFICADOS DE ACCESO</t>
  </si>
  <si>
    <t>ALQUILER ANDAMIO 1 CUERPO H=2.00MT</t>
  </si>
  <si>
    <t>DÍA</t>
  </si>
  <si>
    <t>ALQUILER ANDAMIO 2 CUERPOS H=4.00MT</t>
  </si>
  <si>
    <t/>
  </si>
  <si>
    <t>ALQUILER ANDAMIO 3 CUERPOS H=6.00MT</t>
  </si>
  <si>
    <t>ALQUILER ANDAMIO 4 CUERPOS H=8.00MT</t>
  </si>
  <si>
    <t>ALQUILER ANDAMIO 5 CUERPOS H=10.00MT</t>
  </si>
  <si>
    <t>SUBTOTAL SUMINISTRO DE ANDAMIOS CERTIFICADOS DE ACCESO</t>
  </si>
  <si>
    <t>SUMINISTRO DE ANDAMIOS DE CARGA</t>
  </si>
  <si>
    <t>ALQUILER ANDAMIO DE CARGA H=2.00MT</t>
  </si>
  <si>
    <t>ALQUILER ANDAMIO DE CARGA H=4.00MT</t>
  </si>
  <si>
    <t>ALQUILER ANDAMIO DE CARGA H=6.00MT</t>
  </si>
  <si>
    <t>ALQUILER ANDAMIO DE CARGA H=8.00MT</t>
  </si>
  <si>
    <t>ALQUILER ANDAMIO DE CARGA H=10.00MT</t>
  </si>
  <si>
    <t>ALQUILER ANDAMIO DE CARGA H=12.00MT</t>
  </si>
  <si>
    <t>SUBTOTAL SUMINISTRO DE ANDAMIOS DE CARGA</t>
  </si>
  <si>
    <t xml:space="preserve">RESIDENTE </t>
  </si>
  <si>
    <t>RESIDENTE OCUP. 30%</t>
  </si>
  <si>
    <t>RESIDENTE OCUP. 50%</t>
  </si>
  <si>
    <t>RESIDENTE OCUP. 70%</t>
  </si>
  <si>
    <t>RESIDENTE OCUP. 100%</t>
  </si>
  <si>
    <t xml:space="preserve">SUBTOTAL RESIDENTE </t>
  </si>
  <si>
    <t>M.O. IZAJE MANUAL</t>
  </si>
  <si>
    <t>MANO DE OBRA IZAJE MANUAL DE TEJA SENCILLA CUADRILLA DE 3</t>
  </si>
  <si>
    <t>MANO DE OBRA IZAJE MANUAL DE TEJA SENCILLA CUADRILLA DE 4</t>
  </si>
  <si>
    <t xml:space="preserve">MANO DE OBRA IZAJE MANUAL DE TEJA SENCILLA CUADRILLA DE 5 </t>
  </si>
  <si>
    <t>MANO DE OBRA IZAJE MANUAL DE TEJA SENCILLA CUADRILLA DE 7</t>
  </si>
  <si>
    <t>MANO DE OBRA IZAJE MANUAL DE TEJA SENCILLA CUADRILLA DE 9</t>
  </si>
  <si>
    <t>MANO DE OBRA IZAJE MANUAL DE PANEL SANDWICH CUADRILLA DE 3</t>
  </si>
  <si>
    <t>MANO DE OBRA IZAJE MANUAL DE PANEL SANDWICH CUADRILLA DE 4</t>
  </si>
  <si>
    <t xml:space="preserve">MANO DE OBRA IZAJE MANUAL DE PANEL SANDWICH CUADRILLA DE 5 </t>
  </si>
  <si>
    <t>MANO DE OBRA IZAJE MANUAL DE PANEL SANDWICH CUADRILLA DE 7</t>
  </si>
  <si>
    <t>MANO DE OBRA IZAJE MANUAL DE PANEL SANDWICH CUADRILLA DE 9</t>
  </si>
  <si>
    <t>SUBTOTAL M.O. IZAJE MANUAL</t>
  </si>
  <si>
    <r>
      <t xml:space="preserve">M.O. IZAJE CON EQUIPO </t>
    </r>
    <r>
      <rPr>
        <b/>
        <sz val="11"/>
        <color rgb="FFFF0000"/>
        <rFont val="Arial"/>
        <family val="2"/>
      </rPr>
      <t>RESIDENTE 50%</t>
    </r>
  </si>
  <si>
    <t>MANO DE OBRA IZAJE CON EQUIPO DE TEJA SENCILLA CUADRILLA DE 3</t>
  </si>
  <si>
    <t>MANO DE OBRA IZAJE CON EQUIPO DE TEJA SENCILLA CUADRILLA DE 4</t>
  </si>
  <si>
    <t xml:space="preserve">MANO DE OBRA IZAJE CON EQUIPO DE TEJA SENCILLA CUADRILLA DE 5 </t>
  </si>
  <si>
    <t>MANO DE OBRA IZAJE CON EQUIPO DE TEJA SENCILLA CUADRILLA DE 7</t>
  </si>
  <si>
    <t>MANO DE OBRA IZAJE CON EQUIPO DE TEJA SENCILLA CUADRILLA DE 9</t>
  </si>
  <si>
    <t>MANO DE OBRA IZAJE CON EQUIPO DE PANEL SANDWICH CUADRILLA DE 3</t>
  </si>
  <si>
    <t>MANO DE OBRA IZAJE CON EQUIPO DE PANEL SANDWICH CUADRILLA DE 4</t>
  </si>
  <si>
    <t xml:space="preserve">MANO DE OBRA IZAJE CON EQUIPO DE PANEL SANDWICH CUADRILLA DE 5 </t>
  </si>
  <si>
    <t>MANO DE OBRA IZAJE CON EQUIPO DE PANEL SANDWICH CUADRILLA DE 7</t>
  </si>
  <si>
    <t>MANO DE OBRA IZAJE CON EQUIPO DE PANEL SANDWICH CUADRILLA DE 9</t>
  </si>
  <si>
    <t>SUBTOTAL M.O. IZAJE CON EQUIPO RESIDENTE 50%</t>
  </si>
  <si>
    <t>M.O. DESMONTE DE CUBIERTA</t>
  </si>
  <si>
    <t>MANO DE OBRA DESMONTE DE TEJA DE ASBESTO CUADRILLA DE 3</t>
  </si>
  <si>
    <t>MANO DE OBRA DESMONTE DE TEJA DE ASBESTO CUADRILLA DE 4</t>
  </si>
  <si>
    <t>MANO DE OBRA DESMONTE DE TEJA DE ASBESTO CUADRILLA DE 5</t>
  </si>
  <si>
    <t>MANO DE OBRA DESMONTE DE TEJA DE ASBESTO CUADRILLA DE 7</t>
  </si>
  <si>
    <t>MANO DE OBRA DESMONTE DE TEJA DE ASBESTO CUADRILLA DE 9</t>
  </si>
  <si>
    <t>MANO DE OBRA DESMONTE DE TEJA METÁLICA CUADRILLA DE 3</t>
  </si>
  <si>
    <t>MANO DE OBRA DESMONTE DE TEJA METÁLICA CUADRILLA DE 4</t>
  </si>
  <si>
    <t>MANO DE OBRA DESMONTE DE TEJA METÁLICA CUADRILLA DE 5</t>
  </si>
  <si>
    <t>MANO DE OBRA DESMONTE DE TEJA METÁLICA CUADRILLA DE 7</t>
  </si>
  <si>
    <t>MANO DE OBRA DESMONTE DE TEJA METÁLICA CUADRILLA DE 9</t>
  </si>
  <si>
    <t>SUBTOTAL M.O. DESMONTE DE CUBIERTA</t>
  </si>
  <si>
    <t>M.O. INSTALACIÓN DE CUBIERTA</t>
  </si>
  <si>
    <t>MANO DE OBRA INSTALACIÓN TEJA SENCILLA CUADRILLA DE 3</t>
  </si>
  <si>
    <t>MANO DE OBRA INSTALACIÓN TEJA SENCILLA CUADRILLA DE 4</t>
  </si>
  <si>
    <t>MANO DE OBRA INSTALACIÓN TEJA SENCILLA CUADRILLA DE 5</t>
  </si>
  <si>
    <t>MANO DE OBRA INSTALACIÓN TEJA SENCILLA CUADRILLA DE 7</t>
  </si>
  <si>
    <t>MANO DE OBRA INSTALACIÓN TEJA SENCILLA CUADRILLA DE 9</t>
  </si>
  <si>
    <t>MANO DE OBRA INSTALACIÓN TEJA SENCILLA CUADRILLA DE 11</t>
  </si>
  <si>
    <t>MANO DE OBRA INSTALACIÓN PANEL SANDWICH CUADRILLA DE 3</t>
  </si>
  <si>
    <t>MANO DE OBRA INSTALACIÓN PANEL SANDWICH CUADRILLA DE 4</t>
  </si>
  <si>
    <t>MANO DE OBRA INSTALACIÓN PANEL SANDWICH CUADRILLA DE 5</t>
  </si>
  <si>
    <t>MANO DE OBRA INSTALACIÓN PANEL SANDWICH CUADRILLA DE 7</t>
  </si>
  <si>
    <t>MANO DE OBRA INSTALACIÓN PANEL SANDWICH CUADRILLA DE 9</t>
  </si>
  <si>
    <t>MANO DE OBRA INSTALACIÓN PANEL SANDWICH CUADRILLA DE 11</t>
  </si>
  <si>
    <t>MANO DE OBRA INSTALACIÓN TEJA SENCILLA TRASLUCIDA CUADRILLA DE 3</t>
  </si>
  <si>
    <t>MANO DE OBRA INSTALACIÓN TEJA SENCILLA TRASLUCIDA CUADRILLA DE 4</t>
  </si>
  <si>
    <t>MANO DE OBRA INSTALACIÓN TEJA SENCILLA TRASLUCIDA CUADRILLA DE 5</t>
  </si>
  <si>
    <t>MANO DE OBRA INSTALACIÓN TEJA SENCILLA TRASLUCIDA CUADRILLA DE 7</t>
  </si>
  <si>
    <t>MANO DE OBRA INSTALACIÓN TEJA SENCILLA TRASLUCIDA CUADRILLA DE 9</t>
  </si>
  <si>
    <t>MANO DE OBRA INSTALACIÓN TEJA SENCILLA TRASLUCIDA CUADRILLA DE 11</t>
  </si>
  <si>
    <t>MANO DE OBRA INSTALACIÓN PANEL TRASLUCIDO CUADRILLA DE 3</t>
  </si>
  <si>
    <t>MANO DE OBRA INSTALACIÓN PANEL TRASLUCIDO CUADRILLA DE 4</t>
  </si>
  <si>
    <t>MANO DE OBRA INSTALACIÓN PANEL TRASLUCIDO CUADRILLA DE 5</t>
  </si>
  <si>
    <t>MANO DE OBRA INSTALACIÓN PANEL TRASLUCIDO CUADRILLA DE 7</t>
  </si>
  <si>
    <t>MANO DE OBRA INSTALACIÓN PANEL TRASLUCIDO CUADRILLA DE 9</t>
  </si>
  <si>
    <t>MANO DE OBRA INSTALACIÓN PANEL TRASLUCIDO CUADRILLA DE 11</t>
  </si>
  <si>
    <t>MANO DE OBRA INSTALACIÓN AISLAMIENTO CUADRILLA DE 3 (PARA SANDWICH ARMADO EN SITIO)</t>
  </si>
  <si>
    <t>MANO DE OBRA INSTALACIÓN AISLAMIENTO CUADRILLA DE 4 (PARA SANDWICH ARMADO EN SITIO)</t>
  </si>
  <si>
    <t>MANO DE OBRA INSTALACIÓN AISLAMIENTO CUADRILLA DE 5 (PARA SANDWICH ARMADO EN SITIO)</t>
  </si>
  <si>
    <t>MANO DE OBRA INSTALACIÓN AISLAMIENTO CUADRILLA DE 7 (PARA SANDWICH ARMADO EN SITIO)</t>
  </si>
  <si>
    <t>MANO DE OBRA INSTALACIÓN AISLAMIENTO CUADRILLA DE 9 (PARA SANDWICH ARMADO EN SITIO)</t>
  </si>
  <si>
    <t>MANO DE OBRA INSTALACIÓN AISLAMIENTO CUADRILLA DE 11 (PARA ANDWICH ARMADO EN SITIO)</t>
  </si>
  <si>
    <t xml:space="preserve">MANO DE OBRA INSTALACIÓN TEJA SENCILLA SUPERIOR CUADRILLA DE 3 </t>
  </si>
  <si>
    <t>MANO DE OBRA INSTALACIÓN TEJA SENCILLA SUPERIOR CUADRILLA DE 4</t>
  </si>
  <si>
    <t>MANO DE OBRA INSTALACIÓN TEJA SENCILLA SUPERIOR CUADRILLA DE 5</t>
  </si>
  <si>
    <t>MANO DE OBRA INSTALACIÓN TEJA SENCILLA SUPERIOR CUADRILLA DE 7</t>
  </si>
  <si>
    <t>MANO DE OBRA INSTALACIÓN TEJA SENCILLA SUPERIOR CUADRILLA DE 9</t>
  </si>
  <si>
    <t>MANO DE OBRA INSTALACIÓN TEJA SENCILLA SUPERIOR CUADRILLA DE 11</t>
  </si>
  <si>
    <t xml:space="preserve">MANO DE OBRA INSTALACIÓN POLICARBONATO ALVEOLAR CUADRILLA DE 3 </t>
  </si>
  <si>
    <t>MANO DE OBRA INSTALACIÓN POLICARBONATO ALVEOLAR CUADRILLA DE 4</t>
  </si>
  <si>
    <t>MANO DE OBRA INSTALACIÓN POLICARBONATO ALVEOLAR CUADRILLA DE 5</t>
  </si>
  <si>
    <t>MANO DE OBRA INSTALACIÓN POLICARBONATO ALVEOLAR CUADRILLA DE 7</t>
  </si>
  <si>
    <t>MANO DE OBRA INSTALACIÓN POLICARBONATO ALVEOLAR CUADRILLA DE 9</t>
  </si>
  <si>
    <t>MANO DE OBRA INSTALACIÓN POLICARBONATO ALVEOLAR CUADRILLA DE 11</t>
  </si>
  <si>
    <t xml:space="preserve">MANO DE OBRA INSTALACIÓN POLICARBONATO MACIZO CUADRILLA DE 3 </t>
  </si>
  <si>
    <t>MANO DE OBRA INSTALACIÓN POLICARBONATO MACIZO CUADRILLA DE 4</t>
  </si>
  <si>
    <t>MANO DE OBRA INSTALACIÓN POLICARBONATO MACIZO CUADRILLA DE 5</t>
  </si>
  <si>
    <t>MANO DE OBRA INSTALACIÓN POLICARBONATO MACIZO CUADRILLA DE 7</t>
  </si>
  <si>
    <t>MANO DE OBRA INSTALACIÓN POLICARBONATO MACIZO CUADRILLA DE 9</t>
  </si>
  <si>
    <t>MANO DE OBRA INSTALACIÓN POLICARBONATO MACIZO CUADRILLA DE 11</t>
  </si>
  <si>
    <t xml:space="preserve">MANO DE OBRA INSTALACIÓN FRESCASA CUADRILLA DE 3 </t>
  </si>
  <si>
    <t>MANO DE OBRA INSTALACIÓN FRESCASA CUADRILLA DE 4</t>
  </si>
  <si>
    <t>MANO DE OBRA INSTALACIÓN FRESCASA CUADRILLA DE 5</t>
  </si>
  <si>
    <t>MANO DE OBRA INSTALACIÓN FRESCASA CUADRILLA DE 7</t>
  </si>
  <si>
    <t>MANO DE OBRA INSTALACIÓN FRESCASA CUADRILLA DE 9</t>
  </si>
  <si>
    <t>MANO DE OBRA INSTALACIÓN FRESCASA CUADRILLA DE 11</t>
  </si>
  <si>
    <t>SUBTOTAL M.O. INSTALACIÓN DE CUBIERTA</t>
  </si>
  <si>
    <t>M.O. INDUCCIÓN - TRASCIEGO/ACARREO</t>
  </si>
  <si>
    <t>MANO DE OBRA INDUCCIÓN X 1 DÍA CUADRILLA DE 3</t>
  </si>
  <si>
    <t>MANO DE OBRA INDUCCIÓN X 1 DÍA CUADRILLA DE 4</t>
  </si>
  <si>
    <t>MANO DE OBRA INDUCCIÓN X 1 DÍA CUADRILLA DE 5</t>
  </si>
  <si>
    <t>MANO DE OBRA INDUCCIÓN X 1 DÍA CUADRILLA DE 7</t>
  </si>
  <si>
    <t>MANO DE OBRA INDUCCIÓN X 1 DÍA CUADRILLA DE 9</t>
  </si>
  <si>
    <t>SUBTOTAL M.O. INDUCCIÓN - TRASCIEGO/ACARREO</t>
  </si>
  <si>
    <t>M.O. INSTALACIÓN DE LINEAS DE VIDA PROVISIONALES</t>
  </si>
  <si>
    <t>SUBTOTAL M.O. INSTALACIÓN DE LINEAS DE VIDA PROVISIONALES</t>
  </si>
  <si>
    <t>EQUIPOS HABITUALES</t>
  </si>
  <si>
    <t>ESCALERA EN FIBRA DE VIDRIO</t>
  </si>
  <si>
    <t>ALQUILER CAMPAMENTO ESTRUTECHOS</t>
  </si>
  <si>
    <t>ALQUILER BAÚL DE HERRAMIENTAS</t>
  </si>
  <si>
    <t>ALQUILER LINEAS DE VIDA</t>
  </si>
  <si>
    <t>ALQUILER PULIDORA</t>
  </si>
  <si>
    <t>ALQUILER ATORNILLADORA</t>
  </si>
  <si>
    <t>ALQUILER EXTENSIONES</t>
  </si>
  <si>
    <t>ALQUILER TABLERO ELECTRICO</t>
  </si>
  <si>
    <t>ALQUILER HIDROLAVADORA</t>
  </si>
  <si>
    <t>ALQUILER ASPIRADORA</t>
  </si>
  <si>
    <t>ALQUILER ESCALERILLA CAMINADERO</t>
  </si>
  <si>
    <t>ALQUILER CARPA TOLDO IMPACT 3.60X9.00MT</t>
  </si>
  <si>
    <t>ALQUILER CARPA TOLDO IMPACT 3.60X6.00MT</t>
  </si>
  <si>
    <t>ALQUILER TABLERO ELECTRICO PROTECCION GFCI</t>
  </si>
  <si>
    <t>ALQUILER SIERRA SABLE 6"</t>
  </si>
  <si>
    <t>ALQUILER MONTACARGAS ESTRUTECHOS</t>
  </si>
  <si>
    <t>ALQUILER SOPLADORA DE AIRE ELECTRICA TUPER 900W</t>
  </si>
  <si>
    <t>SUBTOTAL EQUIPOS HABITUALES</t>
  </si>
  <si>
    <t>EQUIPOS ESPECIALES PARA CIUDAD CALI</t>
  </si>
  <si>
    <t>ALQUILER GRÚA TELESCOPICA 20 TON</t>
  </si>
  <si>
    <t>ALQUILER GRÚA TELESCOPICA 30 TON</t>
  </si>
  <si>
    <t>ALQUILER GRÚA TELESCOPICA 40 TON</t>
  </si>
  <si>
    <t>TRANSPORTE DE GRÚA 20TON ó 30TON - SUR DE CALI</t>
  </si>
  <si>
    <t>VIAJE</t>
  </si>
  <si>
    <t>TRANSPORTE DE GRÚA 20TON Ó 30TON - NORTE DE CALI</t>
  </si>
  <si>
    <t>TRANSPORTE DE GRÚA 40TON - SUR DE CALI</t>
  </si>
  <si>
    <t>TRANSPORTE DE GRÚA 40TON - NORTE DE CALI</t>
  </si>
  <si>
    <t>ALQUILER PALOMIER</t>
  </si>
  <si>
    <t>ALQUILER MANLIFT H= 15MT</t>
  </si>
  <si>
    <t>TRANSPORTE DE MANLIFT - CALI</t>
  </si>
  <si>
    <t>TRANSPORTE PLATAFORMA TIJERA - CALI</t>
  </si>
  <si>
    <t>ALQUILER PLATAFORMA TIPO TIJERA H=12MT</t>
  </si>
  <si>
    <t>ALQUILER CONTENEDOR TIPO BODEGA 20 PIES</t>
  </si>
  <si>
    <t>MES</t>
  </si>
  <si>
    <t>ALQUILER CONTENEDOR TIPO OFICINA 20 PIES</t>
  </si>
  <si>
    <t>TRANSPORTE CONTENEDOR - CALI</t>
  </si>
  <si>
    <t>ALQUILER BAÑO PORTATIL</t>
  </si>
  <si>
    <t>SUBTOTAL EQUIPOS ESPECIALES PARA CIUDAD CALI</t>
  </si>
  <si>
    <t>CORTE, PASE Y SELLO</t>
  </si>
  <si>
    <t>CORTE, PASE Y SELLO DE 10x10CM PANEL SANDWICH</t>
  </si>
  <si>
    <t>CORTE, PASE Y SELLO DE 20x20CM PANEL SANDWICH</t>
  </si>
  <si>
    <t>CORTE, PASE Y SELLO DE 30x30CM PANEL SANDWICH</t>
  </si>
  <si>
    <t>CORTE, PASE Y SELLO DE 40X40CM PANEL SANDWICH</t>
  </si>
  <si>
    <t>CORTE, PASE Y SELLO DE 50X50CM PANEL SANDWICH</t>
  </si>
  <si>
    <t>CORTE, PASE Y SELLO DE 60X60CM PANEL SANDWICH</t>
  </si>
  <si>
    <t>CORTE, PASE Y SELLO DE 70X70CM PANEL SANDWICH</t>
  </si>
  <si>
    <t>CORTE, PASE Y SELLO DE 80X80CM PANEL SANDWICH</t>
  </si>
  <si>
    <t>CORTE, PASE Y SELLO DE 90X90CM PANEL SANDWICH</t>
  </si>
  <si>
    <t>CORTE, PASE Y SELLO DE 100X100CM PANEL SANDWICH</t>
  </si>
  <si>
    <t>CORTE, PASE Y SELLO DE 110X110CM PANEL SANDWICH</t>
  </si>
  <si>
    <t>CORTE, PASE Y SELLO DE 120X120CM PANEL SANDWICH</t>
  </si>
  <si>
    <t>CORTE, PASE Y SELLO DE 10X10CM TEJA SENCILLA</t>
  </si>
  <si>
    <t>CORTE, PASE Y SELLO DE 20X20CM TEJA SENCILLA</t>
  </si>
  <si>
    <t>CORTE, PASE Y SELLO DE 30X30CM TEJA SENCILLA</t>
  </si>
  <si>
    <t>CORTE, PASE Y SELLO DE 40X40CM TEJA SENCILLA</t>
  </si>
  <si>
    <t>CORTE, PASE Y SELLO DE 50X50CM TEJA SENCILLA</t>
  </si>
  <si>
    <t>CORTE, PASE Y SELLO DE 60X60CM TEJA SENCILLA</t>
  </si>
  <si>
    <t>CORTE, PASE Y SELLO DE 70X70CM TEJA SENCILLA</t>
  </si>
  <si>
    <t>CORTE, PASE Y SELLO DE 80X80CM TEJA SENCILLA</t>
  </si>
  <si>
    <t>CORTE, PASE Y SELLO DE 90X90CM TEJA SENCILLA</t>
  </si>
  <si>
    <t>CORTE, PASE Y SELLO DE 100X100CM TEJA SENCILLA</t>
  </si>
  <si>
    <t>CORTE, PASE Y SELLO DE 110X110CM TEJA SENCILLA</t>
  </si>
  <si>
    <t>CORTE, PASE Y SELLO DE 120X120CM TEJA SENCILLA</t>
  </si>
  <si>
    <t>SUBTOTAL CORTE, PASE Y SELLO</t>
  </si>
  <si>
    <t>CAMINADEROS</t>
  </si>
  <si>
    <t>CAMINADEROS EN ALUMINIO CUBIERTA EN TST</t>
  </si>
  <si>
    <t>CAMINADEROS EN ALUMINIO CUBIERTA EN TEJA TRAPEZOIDAL</t>
  </si>
  <si>
    <t>CAMINADEROS EN ALUMINIO CUBIERTA EN TST - LONGITUDINAL (SENTIDO DEL AGUA)</t>
  </si>
  <si>
    <t>CAMINADEROS EN ALUMINIO CUBIERTA EN TEJA TRAPEZOIDAL - LONGITUDINAL (SENTIDO DEL AGUA)</t>
  </si>
  <si>
    <t>SUBTOTAL CAMINADEROS</t>
  </si>
  <si>
    <t>REJILLAS CANAL</t>
  </si>
  <si>
    <t>REJILLA CANAL EN MALLA PLASTICA</t>
  </si>
  <si>
    <t>REJILLA CANAL EN MALLA ALUMIIO MICROPERFORADO</t>
  </si>
  <si>
    <t>REJILLA CANAL EN MALLA EXPANDIDA ACERO GALVANIZADO PINTADA HUECO 12</t>
  </si>
  <si>
    <t>REJILLA CANAL EN MALLA EXPANDIDA ACERO GALVANIZADO PINTADA HUECO 16</t>
  </si>
  <si>
    <t>REJILLA CANAL EN MALLA EXPANDIDA ACERO GALVANIZADO HUECO 12</t>
  </si>
  <si>
    <t>REJILLA CANAL EN MALLA EXPANDIDA ACERO GALVANIZADO HUECO 16</t>
  </si>
  <si>
    <t>SUBTOTAL REJILLAS CANAL</t>
  </si>
  <si>
    <t>SOLATUBES</t>
  </si>
  <si>
    <t>SOLATUBE DE DIAMETRO 28"</t>
  </si>
  <si>
    <t>SUBTOTAL SOLATUBES</t>
  </si>
  <si>
    <t>M.O. INSTALACIÓN DE FACHADA</t>
  </si>
  <si>
    <t>MANO DE OBRA INSTALACIÓN TEJA SENCILLA DE 45 - 50CM CUADRILLA DE 3</t>
  </si>
  <si>
    <t>MANO DE OBRA INSTALACIÓN TEJA SENCILLA DE 45 - 50CM CUADRILLA DE 4</t>
  </si>
  <si>
    <t>MANO DE OBRA INSTALACIÓN TEJA SENCILLA DE 45 - 50CM CUADRILLA DE 5</t>
  </si>
  <si>
    <t>MANO DE OBRA INSTALACIÓN TEJA SENCILLA DE 45 - 50CM CUADRILLA DE 7</t>
  </si>
  <si>
    <t>MANO DE OBRA INSTALACIÓN TEJA SENCILLA DE 45 - 50CM CUADRILLA DE 9</t>
  </si>
  <si>
    <t>MANO DE OBRA INSTALACIÓN TEJA SENCILLA DE 45 - 50CM CUADRILLA DE 11</t>
  </si>
  <si>
    <t>MANO DE OBRA INSTALACIÓN TEJA SENCILLA DE 100CM CUADRILLA DE 3</t>
  </si>
  <si>
    <t>MANO DE OBRA INSTALACIÓN TEJA SENCILLA DE 100CM CUADRILLA DE 4</t>
  </si>
  <si>
    <t>MANO DE OBRA INSTALACIÓN TEJA SENCILLA DE 100CM CUADRILLA DE 5</t>
  </si>
  <si>
    <t>MANO DE OBRA INSTALACIÓN TEJA SENCILLA DE 100CM CUADRILLA DE 7</t>
  </si>
  <si>
    <t>MANO DE OBRA INSTALACIÓN TEJA SENCILLA DE 100CM CUADRILLA DE 9</t>
  </si>
  <si>
    <t>MANO DE OBRA INSTALACIÓN TEJA SENCILLA DE 100CM CUADRILLA DE 11</t>
  </si>
  <si>
    <t>MANO DE OBRA INSTALACIÓN TEJA SENCILLA DE 30CM CUADRILLA DE 3</t>
  </si>
  <si>
    <t>MANO DE OBRA INSTALACIÓN TEJA SENCILLA DE 30CM CUADRILLA DE 4</t>
  </si>
  <si>
    <t>MANO DE OBRA INSTALACIÓN TEJA SENCILLA DE 30CM CUADRILLA DE 5</t>
  </si>
  <si>
    <t>MANO DE OBRA INSTALACIÓN TEJA SENCILLA DE 30CM CUADRILLA DE 7</t>
  </si>
  <si>
    <t>MANO DE OBRA INSTALACIÓN TEJA SENCILLA DE 30CM CUADRILLA DE 9</t>
  </si>
  <si>
    <t>MANO DE OBRA INSTALACIÓN TEJA SENCILLA DE 30CM CUADRILLA DE 11</t>
  </si>
  <si>
    <t>SUBTOTAL M.O. INSTALACIÓN DE FACHADA</t>
  </si>
  <si>
    <t>M.O. INSTALACIÓN DE FACHADA ARQUITECTONICA</t>
  </si>
  <si>
    <t>MANO DE OBRA INSTALACIÓN LAMINA MICROPERFORADA CUADRILLA DE 3</t>
  </si>
  <si>
    <t>MANO DE OBRA INSTALACIÓN LAMINA MICROPERFORADA CUADRILLA DE 4</t>
  </si>
  <si>
    <t>MANO DE OBRA INSTALACIÓN LAMINA MICROPERFORADA CUADRILLA DE 5</t>
  </si>
  <si>
    <t>MANO DE OBRA INSTALACIÓN LAMINA MICROPERFORADA CUADRILLA DE 7</t>
  </si>
  <si>
    <t>MANO DE OBRA INSTALACIÓN LAMINA MICROPERFORADA CUADRILLA DE 9</t>
  </si>
  <si>
    <t>MANO DE OBRA INSTALACIÓN LAMINA MICROPERFORADA CUADRILLA DE 11</t>
  </si>
  <si>
    <t>MANO DE OBRA INSTALACIÓN PANEL FENOLICO CUADRILLA DE 3</t>
  </si>
  <si>
    <t>MANO DE OBRA INSTALACIÓN PANEL FENOLICO CUADRILLA DE 4</t>
  </si>
  <si>
    <t>MANO DE OBRA INSTALACIÓN PANEL FENOLICO CUADRILLA DE 5</t>
  </si>
  <si>
    <t>MANO DE OBRA INSTALACIÓN PANEL FENOLICO CUADRILLA DE 7</t>
  </si>
  <si>
    <t>MANO DE OBRA INSTALACIÓN PANEL FENOLICO CUADRILLA DE 9</t>
  </si>
  <si>
    <t>MANO DE OBRA INSTALACIÓN PANEL FENOLICO CUADRILLA DE 11</t>
  </si>
  <si>
    <t>MANO DE OBRA INSTALACIÓN CELOSÍAS Y CORTASOLES CUADRILLA DE 3</t>
  </si>
  <si>
    <t>MANO DE OBRA INSTALACIÓN CELOSÍAS Y CORTASOLES CUADRILLA DE 4</t>
  </si>
  <si>
    <t>MANO DE OBRA INSTALACIÓN CELOSÍAS Y CORTASOLES CUADRILLA DE 5</t>
  </si>
  <si>
    <t>MANO DE OBRA INSTALACIÓN CELOSÍAS Y CORTASOLES CUADRILLA DE 7</t>
  </si>
  <si>
    <t>MANO DE OBRA INSTALACIÓN CELOSÍAS Y CORTASOLES CUADRILLA DE 9</t>
  </si>
  <si>
    <t>MANO DE OBRA INSTALACIÓN CELOSÍAS Y CORTASOLES CUADRILLA DE 11</t>
  </si>
  <si>
    <t>MANO DE OBRA INSTALACIÓN SUB-ESTRUCTURA DE SOPORTE CUADRILLA DE 3</t>
  </si>
  <si>
    <t>MANO DE OBRA INSTALACIÓN SUB-ESTRUCTURA DE SOPORTE CUADRILLA DE 4</t>
  </si>
  <si>
    <t>MANO DE OBRA INSTALACIÓN SUB-ESTRUCTURA DE SOPORTE CUADRILLA DE 5</t>
  </si>
  <si>
    <t>MANO DE OBRA INSTALACIÓN SUB-ESTRUCTURA DE SOPROTE CUADRILLA DE 7</t>
  </si>
  <si>
    <t>MANO DE OBRA INSTALACIÓN SUB-ESTRUCTURA DE SOPORTE CUADRILLA DE 9</t>
  </si>
  <si>
    <t>MANO DE OBRA INSTALACIÓN SUB-ESTRUCTURA DE SOPORTE CUADRILLA DE 11</t>
  </si>
  <si>
    <t>SUBTOTAL M.O. INSTALACIÓN DE FACHADA ARQUITECTONICA</t>
  </si>
  <si>
    <t xml:space="preserve">SUMINISTRO TEJA SIN TRASLAPO PREPINTADA ACESCO </t>
  </si>
  <si>
    <t>TEJA SIN TRASLAPO 1.5" ANCHO 50CM CAL. 26 ACABADO PINTURA PROTECT MASTER (PVDF+CLEAR)</t>
  </si>
  <si>
    <t>TEJA SIN TRASLAPO 1.5" ANCHO 50CM CAL. 26 ACABADO PINTURA SUPERPOLIESTER</t>
  </si>
  <si>
    <t>TEJA SIN TRASLAPO 1.5" ANCHO 50CM CAL. 26 ACABADO PINTURA PROTECT MASTER DUO (PVDF + CLEAR AMBOS LADOS)</t>
  </si>
  <si>
    <t>TEJA SIN TRASLAPO 2" ANCHO 45CM CAL. 26 ACABADO PINTURA SUPERPOLIESTER</t>
  </si>
  <si>
    <t>TEJA SIN TRASLAPO 2" ANCHO 45CM CAL. 26 ACABADO PINTURA PROTECT MASTER (PVDF+CLEAR)</t>
  </si>
  <si>
    <t>TEJA SIN TRASLAPO 2" ANCHO 45CM CAL. 26 ACABADO PINTURA PROTECT MASTER DUO (PVDF+CLEAR AMBOS LADOS)</t>
  </si>
  <si>
    <t>TEJA SIN TRASLAPO 1" ANCHO 30CM CAL. 26 ACABADO PINTURA SUPERPOLIESTER</t>
  </si>
  <si>
    <t>TEJA SIN TRASLAPO 1" ANCHO 30CM CAL. 26 ACABADO PINTURA PROTECT MASTER (PVDF+CLEAR)</t>
  </si>
  <si>
    <t>TEJA SIN TRASLAPO 1" ANCHO 30CM CAL. 26 ACABADO PINTURA PROTECT MASTER DUO (PVDF+CLEAR AMBAS CARAS)</t>
  </si>
  <si>
    <t>TEJA SIN TRASLAPO 1.5" ANCHO 50CM CAL. 24 ACABADO PINTURA SUPERPOLIESTER</t>
  </si>
  <si>
    <t>TEJA SIN TRASLAPO 1.5" ANCHO 50CM CAL. 24 ACABADO PINTURA PROTECT MASTER (PVDF+CLEAR)</t>
  </si>
  <si>
    <t>TEJA SIN TRASLAPO 1.5" ANCHO 50CM CAL. 24 ACABADO PINTURA PROTECT MASTER DUO (PVDF+CLEAR AMBOS LADOS)</t>
  </si>
  <si>
    <t>TEJA SIN TRASLAPO 2" ANCHO 45CM CAL. 24 ACABADO PINTURA SUPERPOLIESTER</t>
  </si>
  <si>
    <t>TEJA SIN TRASLAPO 2" ANCHO 45CM CAL. 24 ACABADO PROTECT MASTER (PVDF+CLEAR)</t>
  </si>
  <si>
    <t>TEJA SIN TRASLAPO 2" 45CM CAL. 24 ACABADO PROTECTO MASTER DUO (PVDF+CLEAR AMBOS LADOS)</t>
  </si>
  <si>
    <t>TEJA SIN TRASLAPO 1" 30CM CAL. 24 ACABADO PINTURA SUPERPOLIESTER</t>
  </si>
  <si>
    <t xml:space="preserve">SUBTOTAL SUMINISTRO TEJA SIN TRASLAPO PREPINTADA ACESCO </t>
  </si>
  <si>
    <t>SUMINISTRO TEJA SIN TRASLAPO GALVANIZADA ACESCO</t>
  </si>
  <si>
    <t>TEJA SIN TRASLAPO 1.5" ANCHO 50CM CAL. 26 GAVANIZADO</t>
  </si>
  <si>
    <t>TEJA SIN TRASLAPO 2" ANCHO 45CM CAL. 26 GALVANIZADO</t>
  </si>
  <si>
    <t>TEJA SIN TRASLAPO 1.5" ANCHO 50CM CAL. 24 GALVANIZADO</t>
  </si>
  <si>
    <t>TEJA SIN TRASLAPO 2" ANCHO 45CM CAL 24 GALVANIZADO</t>
  </si>
  <si>
    <t>SUBTOTAL SUMINISTRO TEJA SIN TRASLAPO GALVANIZADA ACESCO</t>
  </si>
  <si>
    <t>SUMINISTRO TEJA ARQUITECTONICA ACESCO</t>
  </si>
  <si>
    <t>TEJA ARQUITECTONICA CAL. 28 ACABADO PINTURA SUPERPOLIESTER</t>
  </si>
  <si>
    <t>TEJA ARQUITECTONICA CAL. 28 ACABADO PINTURA PROTECT MASTER (PVDF + CLEAR)</t>
  </si>
  <si>
    <t>TEJA ARQUITECTONICA CAL. 28 ACABADO PINTURA PROTECT MASTER DUO (PVDF + CLEAR AMBOS LADOS)</t>
  </si>
  <si>
    <t>TEJA ARQUITECTONICA CAL. 26 ACABADO GALVANIZADO</t>
  </si>
  <si>
    <t>TEJA ARQUITECTONICA CAL. 26 ACABADO PINTURA SUPERPOLIESTER</t>
  </si>
  <si>
    <t>TEJA ARQUITECTONICA CAL. 26 ACABADO PINTURA PROTECT MASTER (PVDF+CLEAR)</t>
  </si>
  <si>
    <t>TEJA ARQUITECTONICA CAL. 26 ACABADO PINTURA PROTECT MASTER DUO (PVDF+CLEAR AMBOS ALDOS)</t>
  </si>
  <si>
    <t>TEJA ARQUITECTONICA CAL. 24 ACABADO GALVANIZADO</t>
  </si>
  <si>
    <t>TEJA ARQUITECTONICA CAL. 24 ACABADO PINTURA SUPERPOLIESTER</t>
  </si>
  <si>
    <t>TEJA ARQUITECTONICA CAL. 24 ACABADO PINTURA PROTECT MASTER (PVDF+CLEAR)</t>
  </si>
  <si>
    <t>SUBTOTAL SUMINISTRO TEJA ARQUITECTONICA ACESCO</t>
  </si>
  <si>
    <t>VALOR COSTOS DIRECTOS</t>
  </si>
  <si>
    <t>COSTOS INDIRECTOS</t>
  </si>
  <si>
    <t>ADMINISTRACION</t>
  </si>
  <si>
    <t>IMPREVISTOS</t>
  </si>
  <si>
    <t>UTILIDAD</t>
  </si>
  <si>
    <t>TOTAL AIU</t>
  </si>
  <si>
    <t>IVA SOBRE LA UTILIDAD</t>
  </si>
  <si>
    <t>VALOR TOTAL PRESUPUESTO</t>
  </si>
  <si>
    <t>INTERVENTORIA</t>
  </si>
  <si>
    <t>TOTAL</t>
  </si>
  <si>
    <t>IVA SOBRE COSTOS DIRECTOS + INDIRECTOS</t>
  </si>
  <si>
    <t>VALOR  TOTAL PRESUPUESTO:</t>
  </si>
  <si>
    <t>CIENTO SIETE MILLONES NOVECIENTOS SESENTA Y SIETE MIL  SETENTA Y CINCO PESOS</t>
  </si>
  <si>
    <t xml:space="preserve"> UNIDAD:   ML </t>
  </si>
  <si>
    <t xml:space="preserve"> ITEM:   1,1 </t>
  </si>
  <si>
    <t>DESP.%</t>
  </si>
  <si>
    <t xml:space="preserve"> PRECIO UNIT </t>
  </si>
  <si>
    <t xml:space="preserve"> VALOR TOTAL </t>
  </si>
  <si>
    <t>MATERIALES</t>
  </si>
  <si>
    <t>LAMINA DE 1.22 X 3.05 MTS CAL. 22 PINTADA INCLUIDO IVA</t>
  </si>
  <si>
    <t xml:space="preserve"> SUBTOTAL MATERIALES </t>
  </si>
  <si>
    <t>MANO DE OBRA</t>
  </si>
  <si>
    <t>CORTE Y DOBLEZ</t>
  </si>
  <si>
    <t xml:space="preserve"> SUBTOTAL- MANO DE OBRA </t>
  </si>
  <si>
    <t>EQUIPO</t>
  </si>
  <si>
    <t xml:space="preserve">EQUIPO Y HERRAMIENTA   </t>
  </si>
  <si>
    <t xml:space="preserve"> SUBTOTAL- EQUIPO </t>
  </si>
  <si>
    <t>OTROS</t>
  </si>
  <si>
    <t>TRANSPORTE CAMIONETA ESTRUTECHOS</t>
  </si>
  <si>
    <t>IMPUESTOS Y RETENCIONES</t>
  </si>
  <si>
    <t>%</t>
  </si>
  <si>
    <t xml:space="preserve">                         -    </t>
  </si>
  <si>
    <t>POLIZAS</t>
  </si>
  <si>
    <t xml:space="preserve"> SUBTOTAL OTROS </t>
  </si>
  <si>
    <t>COSTO DIRECTO</t>
  </si>
  <si>
    <t xml:space="preserve">                             -  </t>
  </si>
  <si>
    <t xml:space="preserve"> ITEM:   1,2 </t>
  </si>
  <si>
    <t xml:space="preserve"> ITEM:   1,3 </t>
  </si>
  <si>
    <t xml:space="preserve"> ITEM:   1,4 </t>
  </si>
  <si>
    <t xml:space="preserve">                           -  </t>
  </si>
  <si>
    <t xml:space="preserve"> ITEM:   1,5 </t>
  </si>
  <si>
    <t xml:space="preserve"> ITEM:   1,6 </t>
  </si>
  <si>
    <t xml:space="preserve"> ITEM:   1,7 </t>
  </si>
  <si>
    <t xml:space="preserve"> ITEM:   2,1 </t>
  </si>
  <si>
    <t>LAMINA DE 1.22 X 3.05 MTS CAL. 24 PINTADA INCLUIDO IVA</t>
  </si>
  <si>
    <t xml:space="preserve"> ITEM:   2,2 </t>
  </si>
  <si>
    <t xml:space="preserve"> ITEM:   2,3 </t>
  </si>
  <si>
    <t xml:space="preserve"> ITEM:   2,4 </t>
  </si>
  <si>
    <t xml:space="preserve"> ITEM:   2,5 </t>
  </si>
  <si>
    <t xml:space="preserve"> ITEM:   2,6 </t>
  </si>
  <si>
    <t xml:space="preserve"> ITEM:   2,7 </t>
  </si>
  <si>
    <t xml:space="preserve"> ITEM:    </t>
  </si>
  <si>
    <t xml:space="preserve"> ITEM:   3,1 </t>
  </si>
  <si>
    <t>FLEJE DE O.60 MTS CAL. 24 (PINTURA)</t>
  </si>
  <si>
    <t xml:space="preserve"> ITEM:   3,2 </t>
  </si>
  <si>
    <t xml:space="preserve"> ITEM:   3,3 </t>
  </si>
  <si>
    <t xml:space="preserve"> ITEM:   3,4 </t>
  </si>
  <si>
    <t xml:space="preserve"> ITEM:   3,5 </t>
  </si>
  <si>
    <t xml:space="preserve"> ITEM:   4,1 </t>
  </si>
  <si>
    <t>FLEJE DE O.60 MTS CAL. 26 (PINTURA)</t>
  </si>
  <si>
    <t>REMATE CON PINTURA DE FABRICA CAL 26 DE 60 CMTS CURVO</t>
  </si>
  <si>
    <t xml:space="preserve"> ITEM:   4,2 </t>
  </si>
  <si>
    <t xml:space="preserve"> ITEM:   4,3 </t>
  </si>
  <si>
    <t>REMATE CON PINTURA DE FABRICA CAL 26 DE 30 CMTS CURVO</t>
  </si>
  <si>
    <t xml:space="preserve"> ITEM:   4,4 </t>
  </si>
  <si>
    <t>REMATE CON PINTURA DE FABRICA CAL 26 DE 20 CMTS CURVO</t>
  </si>
  <si>
    <t xml:space="preserve"> ITEM:   4,5 </t>
  </si>
  <si>
    <t xml:space="preserve"> ITEM:   5,1 </t>
  </si>
  <si>
    <t xml:space="preserve"> ITEM:   5,2 </t>
  </si>
  <si>
    <t xml:space="preserve"> ITEM:   5,3 </t>
  </si>
  <si>
    <t xml:space="preserve"> ITEM:   5,4 </t>
  </si>
  <si>
    <t xml:space="preserve"> ITEM:   5,5 </t>
  </si>
  <si>
    <t xml:space="preserve"> ITEM:   5,6 </t>
  </si>
  <si>
    <t xml:space="preserve"> ITEM:   5,7 </t>
  </si>
  <si>
    <t xml:space="preserve"> ITEM:   6,1 </t>
  </si>
  <si>
    <t xml:space="preserve"> ITEM:   6,2 </t>
  </si>
  <si>
    <t xml:space="preserve"> ITEM:   6,3 </t>
  </si>
  <si>
    <t xml:space="preserve"> ITEM:   6,4 </t>
  </si>
  <si>
    <t xml:space="preserve"> ITEM:   6,5 </t>
  </si>
  <si>
    <t xml:space="preserve"> ITEM:   6,6 </t>
  </si>
  <si>
    <t xml:space="preserve"> ITEM:   6,7 </t>
  </si>
  <si>
    <t>REMATE CON PINTURA FABRICA CAL 24 DE 0.80 MTS LAMINA, para limahoya</t>
  </si>
  <si>
    <t xml:space="preserve"> ITEM:   7,1 </t>
  </si>
  <si>
    <t xml:space="preserve"> ITEM:   7,2 </t>
  </si>
  <si>
    <t xml:space="preserve">REMATE CON PINTURA DE FABRICA CAL 24 DE 40 CTS </t>
  </si>
  <si>
    <t xml:space="preserve"> ITEM:   7,3 </t>
  </si>
  <si>
    <t xml:space="preserve"> ITEM:   7,4 </t>
  </si>
  <si>
    <t xml:space="preserve"> ITEM:   7,5 </t>
  </si>
  <si>
    <t xml:space="preserve"> ITEM:   8,1 </t>
  </si>
  <si>
    <t xml:space="preserve"> ITEM:   8,2 </t>
  </si>
  <si>
    <t xml:space="preserve"> ITEM:   8,3 </t>
  </si>
  <si>
    <t xml:space="preserve"> ITEM:   8,4 </t>
  </si>
  <si>
    <t xml:space="preserve"> ITEM:   8,5 </t>
  </si>
  <si>
    <t xml:space="preserve"> ITEM:   9,1 </t>
  </si>
  <si>
    <t>ALUMBAND 20 CMS X METROS</t>
  </si>
  <si>
    <t>TORNILLO AUTOPERFORANTE 8X3/4 INCL IVA</t>
  </si>
  <si>
    <t>SIKAFLEX 515 UV X 600 ML BLAN INC IVA</t>
  </si>
  <si>
    <t xml:space="preserve">M.O. 1 JEFE CUAD - 1 OFI2 - 1 AYUDANTE2 - 1 VIGIA AYUDANTE2  </t>
  </si>
  <si>
    <t xml:space="preserve">SISO (SUPERVISOR DE SEGURIDAD INDUSTRIAL) </t>
  </si>
  <si>
    <t xml:space="preserve">INGENIERO RESIDENTE </t>
  </si>
  <si>
    <t>HERRAMIENTA MENOR</t>
  </si>
  <si>
    <t>ALQUILER ATORNILLADORAS</t>
  </si>
  <si>
    <t>EXTENSIONES</t>
  </si>
  <si>
    <t>TRANSPORTE GRUA ESTRUTECHOS</t>
  </si>
  <si>
    <t>TRANSPORTES PERSONAL FUERA DE CALI ESTRUTECHOS</t>
  </si>
  <si>
    <t>INSTALACION DE SOLAPAS CON RANURA</t>
  </si>
  <si>
    <t xml:space="preserve"> ITEM:   9,2 </t>
  </si>
  <si>
    <t>TORNILLO FIJADOR ALA INCL IVA</t>
  </si>
  <si>
    <t>DISCO PARA RANURA EN MURO INCL IVA</t>
  </si>
  <si>
    <t>Dia</t>
  </si>
  <si>
    <t xml:space="preserve"> ITEM:   9,3 </t>
  </si>
  <si>
    <t xml:space="preserve"> ITEM:   9,4 </t>
  </si>
  <si>
    <t xml:space="preserve"> ITEM:   9,5 </t>
  </si>
  <si>
    <t xml:space="preserve"> ITEM:   9,6 </t>
  </si>
  <si>
    <t xml:space="preserve"> ITEM:   9,7 </t>
  </si>
  <si>
    <t>SOPORTE EN PLATINA DE 1"X1/8" PINTADA</t>
  </si>
  <si>
    <t xml:space="preserve">                            -  </t>
  </si>
  <si>
    <t>REMACHE ESTANCO</t>
  </si>
  <si>
    <t>SOSCO SENCILLO DE 4"</t>
  </si>
  <si>
    <t>TAPAS</t>
  </si>
  <si>
    <t>TORNILLO CABEZA PLANA INC IVA</t>
  </si>
  <si>
    <t>LAMINA ADICIONAL PARA FABRICACION DE TAPAS DE 0.61</t>
  </si>
  <si>
    <t>ALQUILER DE CUERPOS DE ANDAMIOS</t>
  </si>
  <si>
    <t>ALQUILER DE PULIDORA</t>
  </si>
  <si>
    <t>BOLSA PARA LA BASURA</t>
  </si>
  <si>
    <t>LINEA DE VIDA HORIZONTAL</t>
  </si>
  <si>
    <t>BAUL DE HERRAMIENTAS</t>
  </si>
  <si>
    <t>INSTALACION DE CABALLETE ó LIMATESA CURVO</t>
  </si>
  <si>
    <t xml:space="preserve"> ITEM:   10,1 </t>
  </si>
  <si>
    <t>INSTALACION DE SOLAPAS CON RANURA CURVA</t>
  </si>
  <si>
    <t xml:space="preserve"> ITEM:   10,2 </t>
  </si>
  <si>
    <t>INSTALACION DE SOLAPAS SIN RANURA CURVA</t>
  </si>
  <si>
    <t xml:space="preserve"> ITEM:   10,3 </t>
  </si>
  <si>
    <t>INSTALACION DE GOTERO CURVO</t>
  </si>
  <si>
    <t xml:space="preserve"> ITEM:   10,4 </t>
  </si>
  <si>
    <t>INSTALACION DE CONTRACABALLETE CURVO</t>
  </si>
  <si>
    <t xml:space="preserve"> ITEM:   10,5 </t>
  </si>
  <si>
    <t>INSTALACION DE ESQUINERO CURVO</t>
  </si>
  <si>
    <t xml:space="preserve"> ITEM:   10,6 </t>
  </si>
  <si>
    <t>INSTALACION DE LIMAHOYA CURVA</t>
  </si>
  <si>
    <t xml:space="preserve"> ITEM:   10,7 </t>
  </si>
  <si>
    <t>PULIDORA ELECTRICA 9"</t>
  </si>
  <si>
    <t>BOLSA DE BASURA</t>
  </si>
  <si>
    <t>LINEA DE VIDA VERTICAL</t>
  </si>
  <si>
    <t>EXTENSION</t>
  </si>
  <si>
    <t>ATORNILLADORA</t>
  </si>
  <si>
    <t xml:space="preserve"> ITEM:   11,1 </t>
  </si>
  <si>
    <t>LAM GALV PREPINTADA CAL 22 DE 1,22X3,05</t>
  </si>
  <si>
    <t xml:space="preserve"> ITEM:   11,2 </t>
  </si>
  <si>
    <t xml:space="preserve"> ITEM:   11,3 </t>
  </si>
  <si>
    <t xml:space="preserve"> ITEM:   11,4 </t>
  </si>
  <si>
    <t xml:space="preserve"> ITEM:   12,1 </t>
  </si>
  <si>
    <t xml:space="preserve"> ITEM:   12,2 </t>
  </si>
  <si>
    <t xml:space="preserve"> ITEM:   12,3 </t>
  </si>
  <si>
    <t xml:space="preserve"> ITEM:   12,4 </t>
  </si>
  <si>
    <t xml:space="preserve"> ITEM:   13,1 </t>
  </si>
  <si>
    <t xml:space="preserve"> ITEM:   13,2 </t>
  </si>
  <si>
    <t>M.O. 1 JEFE CUAD - 1 OFI2 - 1 AYUDANTE</t>
  </si>
  <si>
    <t xml:space="preserve"> ITEM:   14,1 </t>
  </si>
  <si>
    <t>TRANSPORTES DE ELEMENTOS FUERA DE CALI ESTRUTECHOS</t>
  </si>
  <si>
    <t>PINTURA BRONCO IMPERMEABILIZANTE</t>
  </si>
  <si>
    <t>GALON</t>
  </si>
  <si>
    <t>Jornal</t>
  </si>
  <si>
    <t>Prestac.</t>
  </si>
  <si>
    <t>Jornal Ttl</t>
  </si>
  <si>
    <t xml:space="preserve"> Rendim/Dia </t>
  </si>
  <si>
    <t xml:space="preserve"> Valor-Unit. </t>
  </si>
  <si>
    <t xml:space="preserve"> COSTO DIRECTO </t>
  </si>
  <si>
    <t xml:space="preserve"> M2 </t>
  </si>
  <si>
    <t xml:space="preserve"> ITEM:   15,1 </t>
  </si>
  <si>
    <t>PLATINA 1/8"X1-1/2"X6MT</t>
  </si>
  <si>
    <t>TORNILLO HEX G-2 1/4" X 1-1/2"</t>
  </si>
  <si>
    <t>TUERCA DE SEGURIDAD</t>
  </si>
  <si>
    <t>PINTURA BLER 2EN1 COLOR NEGRO (ANTICORROSIV. + ESMALTE)</t>
  </si>
  <si>
    <t>GL</t>
  </si>
  <si>
    <t>THINER</t>
  </si>
  <si>
    <t>BROCHA</t>
  </si>
  <si>
    <t>WIPE</t>
  </si>
  <si>
    <t>KG</t>
  </si>
  <si>
    <t>SOLDADURA 6011 x 1/8"</t>
  </si>
  <si>
    <t>KLS</t>
  </si>
  <si>
    <t>MANO DE OBRA - ARAMADO DE PLATINA</t>
  </si>
  <si>
    <t xml:space="preserve"> UNIDAD:   M2 </t>
  </si>
  <si>
    <t xml:space="preserve"> ITEM:   15,2 </t>
  </si>
  <si>
    <t>ESCALERA EN FIBRA DE VIDRIO H=11.00MT</t>
  </si>
  <si>
    <t>MANGUERA 100MT</t>
  </si>
  <si>
    <t>TABLERO ELECTRICO</t>
  </si>
  <si>
    <t xml:space="preserve">POLIZAS 1% </t>
  </si>
  <si>
    <t xml:space="preserve">IMPUESTOS Y RETENCIONES 2% </t>
  </si>
  <si>
    <t xml:space="preserve"> Unidad:   ML </t>
  </si>
  <si>
    <t xml:space="preserve"> ITEM:   16,1 </t>
  </si>
  <si>
    <t xml:space="preserve"> ITEM:   16,2 </t>
  </si>
  <si>
    <t xml:space="preserve"> Unidad:   DIA </t>
  </si>
  <si>
    <t xml:space="preserve"> Rendim/Día </t>
  </si>
  <si>
    <t>M.O. 1 OFI2 - 1 AYU2</t>
  </si>
  <si>
    <t xml:space="preserve"> SUBTOTAL  MANO DE OBRA </t>
  </si>
  <si>
    <t>ASPIRADORA</t>
  </si>
  <si>
    <t>HIDROLAVADORA</t>
  </si>
  <si>
    <t xml:space="preserve"> SUBTOTAL EQUIPO </t>
  </si>
  <si>
    <t>TRANSPORTE  HERRAMIENTA  Y OTROS</t>
  </si>
  <si>
    <t>TRANSPORTES URBANOS</t>
  </si>
  <si>
    <t>TRANSPORTES PERSONAL FUERA DE CALI</t>
  </si>
  <si>
    <t xml:space="preserve"> SUBTOTAL  </t>
  </si>
  <si>
    <t>INGENIERO RESIDENTE</t>
  </si>
  <si>
    <t>M.O. 1 OFI2 - 2 AYU2</t>
  </si>
  <si>
    <t xml:space="preserve">M.O. 1 OFI2 - 3 AYU2 </t>
  </si>
  <si>
    <t>ESCOBA</t>
  </si>
  <si>
    <t>TRAPEADOR</t>
  </si>
  <si>
    <t>JABON NEUTRO</t>
  </si>
  <si>
    <t xml:space="preserve"> Unidad:   UND </t>
  </si>
  <si>
    <t xml:space="preserve"> UNIDAD:   DÍA </t>
  </si>
  <si>
    <t>M.O. 1 AYUDANTE2</t>
  </si>
  <si>
    <t>ALQUILER DIA ANDAMIO CERTIFICADO INCL IVA</t>
  </si>
  <si>
    <t>TRANSPORTE DE EQUIPOS</t>
  </si>
  <si>
    <t>ANDAMIOS DE CARGA</t>
  </si>
  <si>
    <t xml:space="preserve"> Unidad:   DÍA </t>
  </si>
  <si>
    <t>TRANSPORTE DE PERSONAL</t>
  </si>
  <si>
    <t xml:space="preserve">M.O. 1 JEFE CUAD - 1 OFI2 - 2 AYUDANTE2 - 1 VIGIA AYUDANTE2 </t>
  </si>
  <si>
    <t>M.O. 1 JEFE CUAD - 2 OFI2 - 3 AYUDANTE2 - 1 VIGIA AYUDANTE2</t>
  </si>
  <si>
    <t>M.O. 2 JEFE CUAD - 2 OFI2 - 4 AYUDANTE2 - 1 VIGIA AYUDANTE2</t>
  </si>
  <si>
    <t>CANAL - MANO DE OBRA Y FORMACION</t>
  </si>
  <si>
    <t>VALOR TOTAL ITEM</t>
  </si>
  <si>
    <t xml:space="preserve">ITEM:   </t>
  </si>
  <si>
    <t>TRAJE TYVEK STEELPRO 7770W</t>
  </si>
  <si>
    <t>FILTRO 3M 7093C (P100)</t>
  </si>
  <si>
    <t>RESPIRADOR MEDIA CARA 3M 6200</t>
  </si>
  <si>
    <t>ESCALERILLA</t>
  </si>
  <si>
    <t>UND/DIA</t>
  </si>
  <si>
    <t xml:space="preserve"> G1 </t>
  </si>
  <si>
    <t xml:space="preserve"> CODIGO </t>
  </si>
  <si>
    <t xml:space="preserve"> DESCRIPCION </t>
  </si>
  <si>
    <t xml:space="preserve"> UND </t>
  </si>
  <si>
    <t xml:space="preserve"> CANT. </t>
  </si>
  <si>
    <t xml:space="preserve"> VR. UNIT. </t>
  </si>
  <si>
    <t xml:space="preserve"> VR.Original </t>
  </si>
  <si>
    <t xml:space="preserve"> % Increm. </t>
  </si>
  <si>
    <t xml:space="preserve"> Nuevo Valor </t>
  </si>
  <si>
    <t>Valor Total</t>
  </si>
  <si>
    <t>ALCOHOL INDUSTRIAL incluido IVA</t>
  </si>
  <si>
    <t>ALCOHOL INDUSTRIAL incluido IVAGL</t>
  </si>
  <si>
    <t>ALUMBAND 20 CMS X METROSML</t>
  </si>
  <si>
    <t xml:space="preserve">AMARRAS PLASTICAS 50 CMS </t>
  </si>
  <si>
    <t>AMARRAS PLASTICAS 50 CMS UND</t>
  </si>
  <si>
    <t>ANCLAJE EN L</t>
  </si>
  <si>
    <t>ANCLAJE EN LUND</t>
  </si>
  <si>
    <t>BOLSA PARA LA BASURADIA</t>
  </si>
  <si>
    <t>BROCHAUND</t>
  </si>
  <si>
    <t>BROCHA 3"</t>
  </si>
  <si>
    <t>BROCHA 3"UND</t>
  </si>
  <si>
    <t>CAMINADERO EN ALUMINIO X 6.00MT</t>
  </si>
  <si>
    <t>CAMINADERO EN ALUMINIO X 6.00MTUND</t>
  </si>
  <si>
    <t>CINTA MULTISEAL ALUMNINIO 15CM X 10MT</t>
  </si>
  <si>
    <t>CINTA MULTISEAL ALUMNINIO 15CM X 10MTUND</t>
  </si>
  <si>
    <t>DISCO PARA RANURA EN MURO INCL IVAUND</t>
  </si>
  <si>
    <t>EMPAQUE NEOPRENO DE 1.20MT X 1.00MT</t>
  </si>
  <si>
    <t>EMPAQUE NEOPRENO DE 1.20MT X 1.00MTUND</t>
  </si>
  <si>
    <t>FLEJE DE O.60 MTS CAL. 24 (PINTURA)ML</t>
  </si>
  <si>
    <t>FLEJE DE O.60 MTS CAL. 26 (PINTURA)ML</t>
  </si>
  <si>
    <t>LAM GALV PREPINTADA CAL 22 DE 1,22X3,05UND</t>
  </si>
  <si>
    <t>LAMINA ADICIONAL PARA FABRICACION DE TAPAS DE 0.61ML</t>
  </si>
  <si>
    <t>LAMINA DE 1.22 X 3.05 MTS CAL. 22 PINTADA INCLUIDO IVAUND</t>
  </si>
  <si>
    <t>LAMINA DE 1.22 X 3.05 MTS CAL. 24 PINTADA INCLUIDO IVAUND</t>
  </si>
  <si>
    <t>LINEA DE VIDA HORIZONTALDIA</t>
  </si>
  <si>
    <t>LINEA DE VIDA VERTICALDIA</t>
  </si>
  <si>
    <t>MALLA EXPANDIDA ACERO GALV.  CAL 18 HUECO 16 PINTADA</t>
  </si>
  <si>
    <t>MALLA EXPANDIDA ACERO GALV.  CAL 18 HUECO 16 PINTADAML</t>
  </si>
  <si>
    <t>MALLA EXPANDIDA ACERO GALV. CAL 18 HUECO 12</t>
  </si>
  <si>
    <t>MALLA EXPANDIDA ACERO GALV. CAL 18 HUECO 12ML</t>
  </si>
  <si>
    <t>MALLA EXPANDIDA ACERO GALV. CAL 18 HUECO 12 PINTADA ANCHO 30CM</t>
  </si>
  <si>
    <t>MALLA EXPANDIDA ACERO GALV. CAL 18 HUECO 12 PINTADA ANCHO 30CMML</t>
  </si>
  <si>
    <t xml:space="preserve">MALLA EXPANDIDA ACERO GALV. CAL 19 HUECO 16 </t>
  </si>
  <si>
    <t>MALLA EXPANDIDA ACERO GALV. CAL 19 HUECO 16 ML</t>
  </si>
  <si>
    <t>MALLA PLASTICA BLANCA DE 1MT</t>
  </si>
  <si>
    <t>MALLA PLASTICA BLANCA DE 1MTML</t>
  </si>
  <si>
    <t>PANEL KINGCORE 50MM</t>
  </si>
  <si>
    <t>PANEL KINGCORE 50MMM2</t>
  </si>
  <si>
    <t>PINTURA BLER 2EN1 COLOR NEGRO (ANTICORROSIV. + ESMALTE)GL</t>
  </si>
  <si>
    <t>PINTURA BRONCO IMPERMEABILIZANTEGALON</t>
  </si>
  <si>
    <t>PINTURA BRONCOELASTICO (4.5M2/GL) INC IVA</t>
  </si>
  <si>
    <t>PINTURA BRONCOELASTICO (4.5M2/GL) INC IVAGL</t>
  </si>
  <si>
    <t>PLATINA 1/8"X1-1/2"X6MTUND</t>
  </si>
  <si>
    <t xml:space="preserve">REJILLA EN ALUMINIO MICROPERFORADA 0.30X2.00MT </t>
  </si>
  <si>
    <t>REJILLA EN ALUMINIO MICROPERFORADA 0.30X2.00MT UND</t>
  </si>
  <si>
    <t>REMACHE ESTANCOUND</t>
  </si>
  <si>
    <t>RODILLO FELPA 3"</t>
  </si>
  <si>
    <t>RODILLO FELPA 3"UND</t>
  </si>
  <si>
    <t>SIKAFLEX 515 DE 600 ML BLANCO SALCHICHA INC IVA</t>
  </si>
  <si>
    <t>SIKAFLEX 515 DE 600 ML BLANCO SALCHICHA INC IVAUND</t>
  </si>
  <si>
    <t>SIKAFLEX 515 UV X 600 ML BLAN INC IVAUND</t>
  </si>
  <si>
    <t>SOLDADURA 6011 x 1/8"KLS</t>
  </si>
  <si>
    <t>SOPORTE ALUMINIO GLAMP</t>
  </si>
  <si>
    <t>SOPORTE ALUMINIO GLAMPUND</t>
  </si>
  <si>
    <t>SOPORTE EN PLATINA DE 1"X1/8" PINTADAUND</t>
  </si>
  <si>
    <t>SOSCO SENCILLO DE 4"UND</t>
  </si>
  <si>
    <t>TAPASUND</t>
  </si>
  <si>
    <t>THINERUND</t>
  </si>
  <si>
    <t>THINERGL</t>
  </si>
  <si>
    <t>TORNILLO AUTOPERFORANTE 3"</t>
  </si>
  <si>
    <t>TORNILLO AUTOPERFORANTE 3"UND</t>
  </si>
  <si>
    <t>TORNILLO AUTOPERFORANTE 8X3/4 INCL IVAUND</t>
  </si>
  <si>
    <t>TORNILLO CABEZA PLANA INC IVAUND</t>
  </si>
  <si>
    <t>TORNILLO FIJADOR ALA INCL IVAUND</t>
  </si>
  <si>
    <t>TORNILLO HEX G-2 1/4" X 1-1/2"UND</t>
  </si>
  <si>
    <t>TUERCA DE SEGURIDADUND</t>
  </si>
  <si>
    <t>WIPEKG</t>
  </si>
  <si>
    <t>WIPEKLS</t>
  </si>
  <si>
    <t xml:space="preserve"> G2 </t>
  </si>
  <si>
    <t>Jornal+PS</t>
  </si>
  <si>
    <t>CORTE Y DOBLEZJornal+PS</t>
  </si>
  <si>
    <t>INGENIERO RESIDENTEJornal+PS</t>
  </si>
  <si>
    <t>INGENIERO RESIDENTE Jornal+PS</t>
  </si>
  <si>
    <t>M.O. 1 AYUDANTE2Jornal+PS</t>
  </si>
  <si>
    <t>M.O. 1 JEFE CUAD - 1 OFI2 - 1 AYUDANTEJornal+PS</t>
  </si>
  <si>
    <t>M.O. 1 JEFE CUAD - 1 OFI2 - 1 AYUDANTE2 - 1 VIGIA AYUDANTE2  Jornal+PS</t>
  </si>
  <si>
    <t>M.O. 1 JEFE CUAD - 1 OFI2 - 2 AYUDANTE2 - 1 VIGIA AYUDANTE2 Jornal+PS</t>
  </si>
  <si>
    <t>M.O. 1 JEFE CUAD - 2 OFI2 - 3 AYUDANTE2 - 1 VIGIA AYUDANTE2Jornal+PS</t>
  </si>
  <si>
    <t>M.O. 1 OFI2 - 1 AYU2Jornal+PS</t>
  </si>
  <si>
    <t>M.O. 1 OFI2 - 2 AYU2Jornal+PS</t>
  </si>
  <si>
    <t>M.O. 1 OFI2 - 3 AYU2 Jornal+PS</t>
  </si>
  <si>
    <t>M.O. 2 JEFE CUAD - 2 OFI2 - 4 AYUDANTE2 - 1 VIGIA AYUDANTE2Jornal+PS</t>
  </si>
  <si>
    <t>MANO DE OBRA - ARAMADO DE PLATINAJornal+PS</t>
  </si>
  <si>
    <t>OPERARIO CERTIFICADO</t>
  </si>
  <si>
    <t>OPERARIO CERTIFICADOJornal+PS</t>
  </si>
  <si>
    <t>SISO (SUPERVISOR DE SEGURIDAD INDUSTRIAL) Jornal+PS</t>
  </si>
  <si>
    <t xml:space="preserve"> G3 </t>
  </si>
  <si>
    <t>ALQUILER ATORNILLADORASDIA</t>
  </si>
  <si>
    <t>ALQUILER DE CUERPOS DE ANDAMIOSDIA</t>
  </si>
  <si>
    <t>ALQUILER DE PULIDORADIA</t>
  </si>
  <si>
    <t>ALQUILER DIA ANDAMIO CERTIFICADO INCL IVAUND</t>
  </si>
  <si>
    <t>ALQUILER PULIDORADIA</t>
  </si>
  <si>
    <t>ANDAMIOS DE CARGADIA</t>
  </si>
  <si>
    <t>ASPIRADORAUND</t>
  </si>
  <si>
    <t>ATORNILLADORAUND</t>
  </si>
  <si>
    <t>BAÑO PORTATIL (INCLUYE 8 ASEOS X MES)</t>
  </si>
  <si>
    <t>BAÑO PORTATIL (INCLUYE 8 ASEOS X MES)MES</t>
  </si>
  <si>
    <t>BAUL DE HERRAMIENTASUND</t>
  </si>
  <si>
    <t>BAUL DE HERRAMIENTASDia</t>
  </si>
  <si>
    <t>BOLSA DE BASURAUND</t>
  </si>
  <si>
    <t>CAMPAMENTO PROVISIONAL ESTRUTECHOS</t>
  </si>
  <si>
    <t>CAMPAMENTO PROVISIONAL ESTRUTECHOSDÍA</t>
  </si>
  <si>
    <t>CARPA TOLDO IMPACT 3.60X6.00MT</t>
  </si>
  <si>
    <t>CARPA TOLDO IMPACT 3.60X6.00MTUND</t>
  </si>
  <si>
    <t>CARPA TOLDO IMPACT 3.60X9.00MT</t>
  </si>
  <si>
    <t>CARPA TOLDO IMPACT 3.60X9.00MTUND</t>
  </si>
  <si>
    <t>CONTENEDOR TIPO BODEGA 20 PIES</t>
  </si>
  <si>
    <t>CONTENEDOR TIPO BODEGA 20 PIESMES</t>
  </si>
  <si>
    <t>CONTENEDOR TIPO OFICINA 20 PIES</t>
  </si>
  <si>
    <t>CONTENEDOR TIPO OFICINA 20 PIESMES</t>
  </si>
  <si>
    <t>EQUIPO Y HERRAMIENTA   UND</t>
  </si>
  <si>
    <t>ESCALERA EN FIBRA DE VIDRIO H=11.00MTUND</t>
  </si>
  <si>
    <t>ESCALERILLAUND/DIA</t>
  </si>
  <si>
    <t>EXTENSIONUND</t>
  </si>
  <si>
    <t>EXTENSIONESDIA</t>
  </si>
  <si>
    <t>FILTRO 3M 7093C (P100)UND</t>
  </si>
  <si>
    <t>GRUA TELESCOPICA 20 TN</t>
  </si>
  <si>
    <t>HRS</t>
  </si>
  <si>
    <t>GRUA TELESCOPICA 20 TNHRS</t>
  </si>
  <si>
    <t>GRUA TELESCOPICA 30 TN</t>
  </si>
  <si>
    <t>GRUA TELESCOPICA 30 TNHRS</t>
  </si>
  <si>
    <t>GRUA TELESCOPICA 40 TN</t>
  </si>
  <si>
    <t>GRUA TELESCOPICA 40 TNHRS</t>
  </si>
  <si>
    <t>HERRAMIENTA MENOR%</t>
  </si>
  <si>
    <t>HIDROLAVADORAUND</t>
  </si>
  <si>
    <t>IMPUESTOS Y RETENCIONES%</t>
  </si>
  <si>
    <t>IMPUESTOS Y RETENCIONES 2% %</t>
  </si>
  <si>
    <t>LINEA DE VIDA HORIZONTALUND</t>
  </si>
  <si>
    <t>LINEA DE VIDA HORIZONTALDia</t>
  </si>
  <si>
    <t>LINEA DE VIDA VERTICALUND</t>
  </si>
  <si>
    <t>MANGUERA 100MTUND</t>
  </si>
  <si>
    <t>MANLIFT 15MT - INCL OPERARIO</t>
  </si>
  <si>
    <t>MANLIFT 15MT - INCL OPERARIODÍA</t>
  </si>
  <si>
    <t>MONTACARGA</t>
  </si>
  <si>
    <t>MONTACARGAUND</t>
  </si>
  <si>
    <t>PLATAFORMA TIJERA H=12MT</t>
  </si>
  <si>
    <t>PLATAFORMA TIJERA H=12MTDÍA</t>
  </si>
  <si>
    <t>POLIZAS 1% %</t>
  </si>
  <si>
    <t>PULIDORA ELECTRICA 9"UND</t>
  </si>
  <si>
    <t>PULIDORA MANUAL ELECTRICA</t>
  </si>
  <si>
    <t>PULIDORA MANUAL ELECTRICADIA</t>
  </si>
  <si>
    <t>RESPIRADOR MEDIA CARA 3M 6200UND</t>
  </si>
  <si>
    <t>SIERRA SABLE</t>
  </si>
  <si>
    <t>SIERRA SABLEUND</t>
  </si>
  <si>
    <t>SOPLADORA DE AIRE ELECTRICA</t>
  </si>
  <si>
    <t>SOPLADORA DE AIRE ELECTRICAUND</t>
  </si>
  <si>
    <t>TABLERO ELECTRICOUND</t>
  </si>
  <si>
    <t>TABLERO ELECTRICO PROTECCION GFCI</t>
  </si>
  <si>
    <t>TABLERO ELECTRICO PROTECCION GFCIUND</t>
  </si>
  <si>
    <t>TRAJE TYVEK STEELPRO 7770WUND</t>
  </si>
  <si>
    <t>TRANSPORTE CAMIONETA ESTRUTECHOSDIA</t>
  </si>
  <si>
    <t>TRANSPORTES PERSONAL FUERA DE CALIDIA</t>
  </si>
  <si>
    <t>TRANSPORTES URBANOSDIA</t>
  </si>
  <si>
    <t xml:space="preserve"> G4 </t>
  </si>
  <si>
    <t>POLIZAS%</t>
  </si>
  <si>
    <t>TRANSPORTE CAMIONETA ESTRUTECHOSUND</t>
  </si>
  <si>
    <t>TRANSPORTE CONTENEDOR</t>
  </si>
  <si>
    <t>TRANSPORTE CONTENEDORVIAJE</t>
  </si>
  <si>
    <t>TRANSPORTE DE EQUIPOSVIAJE</t>
  </si>
  <si>
    <t>TRANSPORTE DE GRUA TELESCOPICA</t>
  </si>
  <si>
    <t>TRANSPORTE DE GRUA TELESCOPICAVIAJE</t>
  </si>
  <si>
    <t>TRANSPORTE DE PERSONALVIAJE</t>
  </si>
  <si>
    <t>TRANSPORTE GRUA ESTRUTECHOSUND</t>
  </si>
  <si>
    <t>TRANSPORTE MANLIFT</t>
  </si>
  <si>
    <t>TRANSPORTE MANLIFTVIAJE</t>
  </si>
  <si>
    <t>TRANSPORTES DE ELEMENTOS FUERA DE CALI ESTRUTECHOSDIA</t>
  </si>
  <si>
    <t>TRANSPORTES PERSONAL FUERA DE CALI ESTRUTECHOSDIA</t>
  </si>
  <si>
    <t>TRANSPORTES URBANOSVIAJE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</si>
</sst>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.00\ _€_-;\-* #,##0.00\ _€_-;_-* &quot;-&quot;??\ _€_-;_-@_-"/>
    <numFmt numFmtId="167" formatCode="_ * #,##0.000_ ;_ * \-#,##0.000_ ;_ * &quot;-&quot;??_ ;_ @_ "/>
    <numFmt numFmtId="168" formatCode="_(* #,##0.00_);_(* \(#,##0.00\);_(* &quot;-&quot;??_);_(@_)"/>
    <numFmt numFmtId="169" formatCode="_ * #,##0.0000_ ;_ * \-#,##0.0000_ ;_ * &quot;-&quot;??_ ;_ @_ "/>
    <numFmt numFmtId="170" formatCode="0.0%"/>
    <numFmt numFmtId="171" formatCode="0.0000"/>
    <numFmt numFmtId="172" formatCode="_ * #,##0.00000_ ;_ * \-#,##0.00000_ ;_ * &quot;-&quot;??_ ;_ @_ "/>
    <numFmt numFmtId="173" formatCode="0.000000"/>
    <numFmt numFmtId="174" formatCode="_ * #,##0.0_ ;_ * \-#,##0.0_ ;_ * &quot;-&quot;??_ ;_ @_ "/>
    <numFmt numFmtId="175" formatCode="_ &quot;$&quot;\ * #,##0_ ;_ &quot;$&quot;\ * \-#,##0_ ;_ &quot;$&quot;\ * &quot;-&quot;??_ ;_ @_ "/>
    <numFmt numFmtId="176" formatCode="0.000"/>
    <numFmt numFmtId="177" formatCode="_-* #,##0_-;\-* #,##0_-;_-* &quot;-&quot;??_-;_-@_-"/>
    <numFmt numFmtId="178" formatCode="_-* #,##0.000_-;\-* #,##0.000_-;_-* &quot;-&quot;???_-;_-@_-"/>
    <numFmt numFmtId="179" formatCode="_-* #,##0.0_-;\-* #,##0.0_-;_-* &quot;-&quot;???_-;_-@_-"/>
    <numFmt numFmtId="180" formatCode="_(&quot;$&quot;\ * #,##0_);_(&quot;$&quot;\ * \(#,##0\);_(&quot;$&quot;\ * &quot;-&quot;??_);_(@_)"/>
    <numFmt numFmtId="181" formatCode="_-* #,##0\ _€_-;\-* #,##0\ _€_-;_-* &quot;-&quot;??\ _€_-;_-@_-"/>
    <numFmt numFmtId="182" formatCode="_-* #,##0.00000_-;\-* #,##0.00000_-;_-* &quot;-&quot;???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Arial Narrow"/>
      <family val="2"/>
    </font>
    <font>
      <sz val="10"/>
      <color theme="0"/>
      <name val="Arial Narrow"/>
      <family val="2"/>
    </font>
    <font>
      <sz val="10"/>
      <color theme="0"/>
      <name val="Arial"/>
      <family val="2"/>
    </font>
    <font>
      <sz val="10"/>
      <color rgb="FF92D050"/>
      <name val="Arial"/>
      <family val="2"/>
    </font>
    <font>
      <b/>
      <sz val="10"/>
      <color rgb="FFFF0000"/>
      <name val="Arial Narrow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8"/>
      <name val="Arial"/>
      <family val="2"/>
    </font>
    <font>
      <sz val="8"/>
      <color rgb="FFD9D9D9"/>
      <name val="Arial"/>
      <family val="2"/>
    </font>
    <font>
      <sz val="10"/>
      <color rgb="FFFFFFFF"/>
      <name val="Arial"/>
      <family val="2"/>
    </font>
    <font>
      <sz val="10"/>
      <color rgb="FFD6D61C"/>
      <name val="Arial"/>
      <family val="2"/>
    </font>
  </fonts>
  <fills count="16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rgb="FFD8ECBC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E1EACE"/>
        <bgColor indexed="64"/>
      </patternFill>
    </fill>
    <fill>
      <patternFill patternType="solid">
        <fgColor rgb="FFDEDE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6D61C"/>
        <bgColor rgb="FF000000"/>
      </patternFill>
    </fill>
    <fill>
      <patternFill patternType="solid">
        <fgColor rgb="FFFFFF66"/>
        <bgColor rgb="FF000000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double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/>
      <right style="hair">
        <color indexed="64"/>
      </right>
      <top style="hair">
        <color rgb="FF000000"/>
      </top>
      <bottom style="hair">
        <color indexed="64"/>
      </bottom>
      <diagonal/>
    </border>
    <border>
      <left/>
      <right style="double">
        <color indexed="64"/>
      </right>
      <top style="hair">
        <color rgb="FF000000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double">
        <color indexed="64"/>
      </right>
      <top style="hair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indexed="64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rgb="FF000000"/>
      </bottom>
      <diagonal/>
    </border>
    <border>
      <left style="double">
        <color indexed="64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/>
      <right style="hair">
        <color indexed="64"/>
      </right>
      <top style="hair">
        <color rgb="FF000000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rgb="FF000000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rgb="FF000000"/>
      </top>
      <bottom/>
      <diagonal/>
    </border>
    <border>
      <left/>
      <right style="double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 style="hair">
        <color rgb="FF000000"/>
      </left>
      <right style="double">
        <color indexed="64"/>
      </right>
      <top/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hair">
        <color rgb="FF000000"/>
      </top>
      <bottom style="hair">
        <color indexed="64"/>
      </bottom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/>
      <diagonal/>
    </border>
    <border>
      <left style="double">
        <color indexed="64"/>
      </left>
      <right style="hair">
        <color rgb="FF000000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545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164" fontId="2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0" fontId="4" fillId="3" borderId="2" xfId="0" applyFont="1" applyFill="1" applyBorder="1" applyAlignment="1" applyProtection="1">
      <alignment horizontal="center" vertical="top" wrapText="1"/>
      <protection locked="0" hidden="1"/>
    </xf>
    <xf numFmtId="0" fontId="4" fillId="3" borderId="3" xfId="0" applyFont="1" applyFill="1" applyBorder="1" applyAlignment="1" applyProtection="1">
      <alignment vertical="top"/>
      <protection locked="0"/>
    </xf>
    <xf numFmtId="0" fontId="2" fillId="3" borderId="3" xfId="0" applyFont="1" applyFill="1" applyBorder="1" applyAlignment="1" applyProtection="1">
      <alignment vertical="top" wrapText="1"/>
      <protection hidden="1"/>
    </xf>
    <xf numFmtId="164" fontId="2" fillId="3" borderId="3" xfId="0" applyNumberFormat="1" applyFont="1" applyFill="1" applyBorder="1" applyAlignment="1" applyProtection="1">
      <alignment vertical="top" wrapText="1"/>
      <protection hidden="1"/>
    </xf>
    <xf numFmtId="164" fontId="4" fillId="3" borderId="4" xfId="0" applyNumberFormat="1" applyFont="1" applyFill="1" applyBorder="1" applyAlignment="1" applyProtection="1">
      <alignment horizontal="right" vertical="top" wrapText="1"/>
      <protection hidden="1"/>
    </xf>
    <xf numFmtId="0" fontId="3" fillId="0" borderId="5" xfId="0" applyFont="1" applyBorder="1" applyAlignment="1" applyProtection="1">
      <alignment horizontal="center" vertical="top"/>
      <protection locked="0" hidden="1"/>
    </xf>
    <xf numFmtId="0" fontId="6" fillId="0" borderId="6" xfId="0" applyFont="1" applyBorder="1" applyAlignment="1" applyProtection="1">
      <alignment vertical="top" wrapText="1"/>
      <protection hidden="1"/>
    </xf>
    <xf numFmtId="0" fontId="0" fillId="0" borderId="6" xfId="0" applyBorder="1" applyAlignment="1" applyProtection="1">
      <alignment horizontal="center" vertical="top"/>
      <protection hidden="1"/>
    </xf>
    <xf numFmtId="0" fontId="0" fillId="0" borderId="6" xfId="0" applyBorder="1" applyAlignment="1" applyProtection="1">
      <alignment horizontal="right" vertical="top"/>
      <protection locked="0" hidden="1"/>
    </xf>
    <xf numFmtId="164" fontId="0" fillId="4" borderId="7" xfId="1" applyNumberFormat="1" applyFont="1" applyFill="1" applyBorder="1" applyAlignment="1" applyProtection="1">
      <alignment horizontal="right" vertical="center"/>
      <protection hidden="1"/>
    </xf>
    <xf numFmtId="164" fontId="3" fillId="0" borderId="8" xfId="1" applyNumberFormat="1" applyFont="1" applyBorder="1" applyAlignment="1" applyProtection="1">
      <alignment horizontal="right" vertical="top"/>
      <protection hidden="1"/>
    </xf>
    <xf numFmtId="0" fontId="3" fillId="0" borderId="9" xfId="0" applyFont="1" applyBorder="1" applyAlignment="1" applyProtection="1">
      <alignment horizontal="center" vertical="top"/>
      <protection locked="0" hidden="1"/>
    </xf>
    <xf numFmtId="0" fontId="6" fillId="0" borderId="7" xfId="0" applyFont="1" applyBorder="1" applyAlignment="1" applyProtection="1">
      <alignment vertical="top" wrapText="1"/>
      <protection hidden="1"/>
    </xf>
    <xf numFmtId="0" fontId="0" fillId="0" borderId="7" xfId="0" applyBorder="1" applyAlignment="1" applyProtection="1">
      <alignment horizontal="center" vertical="top"/>
      <protection hidden="1"/>
    </xf>
    <xf numFmtId="0" fontId="0" fillId="0" borderId="7" xfId="0" applyBorder="1" applyAlignment="1" applyProtection="1">
      <alignment horizontal="right" vertical="top"/>
      <protection locked="0" hidden="1"/>
    </xf>
    <xf numFmtId="164" fontId="0" fillId="0" borderId="7" xfId="1" applyNumberFormat="1" applyFont="1" applyBorder="1" applyAlignment="1" applyProtection="1">
      <alignment horizontal="right" vertical="top"/>
      <protection hidden="1"/>
    </xf>
    <xf numFmtId="164" fontId="0" fillId="0" borderId="10" xfId="1" applyNumberFormat="1" applyFont="1" applyBorder="1" applyAlignment="1" applyProtection="1">
      <alignment horizontal="right" vertical="top"/>
      <protection hidden="1"/>
    </xf>
    <xf numFmtId="0" fontId="3" fillId="5" borderId="11" xfId="0" applyFont="1" applyFill="1" applyBorder="1" applyAlignment="1" applyProtection="1">
      <alignment horizontal="center" vertical="top"/>
      <protection locked="0" hidden="1"/>
    </xf>
    <xf numFmtId="0" fontId="6" fillId="5" borderId="12" xfId="0" applyFont="1" applyFill="1" applyBorder="1" applyAlignment="1" applyProtection="1">
      <alignment vertical="top" wrapText="1"/>
      <protection hidden="1"/>
    </xf>
    <xf numFmtId="0" fontId="0" fillId="5" borderId="12" xfId="0" applyFill="1" applyBorder="1" applyAlignment="1" applyProtection="1">
      <alignment horizontal="center" vertical="top"/>
      <protection hidden="1"/>
    </xf>
    <xf numFmtId="0" fontId="0" fillId="5" borderId="12" xfId="0" applyFill="1" applyBorder="1" applyAlignment="1" applyProtection="1">
      <alignment horizontal="right" vertical="top"/>
      <protection locked="0" hidden="1"/>
    </xf>
    <xf numFmtId="164" fontId="4" fillId="5" borderId="12" xfId="1" applyNumberFormat="1" applyFont="1" applyFill="1" applyBorder="1" applyAlignment="1" applyProtection="1">
      <alignment horizontal="right" vertical="top"/>
      <protection hidden="1"/>
    </xf>
    <xf numFmtId="164" fontId="4" fillId="5" borderId="13" xfId="1" applyNumberFormat="1" applyFont="1" applyFill="1" applyBorder="1" applyAlignment="1" applyProtection="1">
      <alignment horizontal="right" vertical="top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43" fontId="0" fillId="0" borderId="0" xfId="1" applyFont="1" applyAlignment="1">
      <alignment vertical="top"/>
    </xf>
    <xf numFmtId="0" fontId="4" fillId="3" borderId="3" xfId="0" applyFont="1" applyFill="1" applyBorder="1" applyAlignment="1" applyProtection="1">
      <alignment vertical="center"/>
      <protection locked="0"/>
    </xf>
    <xf numFmtId="0" fontId="2" fillId="3" borderId="3" xfId="0" applyFont="1" applyFill="1" applyBorder="1" applyAlignment="1" applyProtection="1">
      <alignment vertical="center" wrapText="1"/>
      <protection hidden="1"/>
    </xf>
    <xf numFmtId="164" fontId="2" fillId="3" borderId="3" xfId="0" applyNumberFormat="1" applyFont="1" applyFill="1" applyBorder="1" applyAlignment="1" applyProtection="1">
      <alignment vertical="center" wrapText="1"/>
      <protection hidden="1"/>
    </xf>
    <xf numFmtId="164" fontId="4" fillId="3" borderId="4" xfId="0" applyNumberFormat="1" applyFont="1" applyFill="1" applyBorder="1" applyAlignment="1" applyProtection="1">
      <alignment horizontal="right" vertical="center" wrapText="1"/>
      <protection hidden="1"/>
    </xf>
    <xf numFmtId="0" fontId="6" fillId="0" borderId="6" xfId="0" applyFont="1" applyBorder="1" applyAlignment="1" applyProtection="1">
      <alignment vertical="center" wrapTex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right" vertical="center" wrapText="1"/>
      <protection locked="0" hidden="1"/>
    </xf>
    <xf numFmtId="164" fontId="0" fillId="4" borderId="6" xfId="1" applyNumberFormat="1" applyFont="1" applyFill="1" applyBorder="1" applyAlignment="1" applyProtection="1">
      <alignment horizontal="right" vertical="center"/>
      <protection hidden="1"/>
    </xf>
    <xf numFmtId="164" fontId="0" fillId="0" borderId="8" xfId="1" applyNumberFormat="1" applyFont="1" applyBorder="1" applyAlignment="1" applyProtection="1">
      <alignment horizontal="right" vertical="center"/>
      <protection hidden="1"/>
    </xf>
    <xf numFmtId="0" fontId="6" fillId="0" borderId="7" xfId="0" applyFont="1" applyBorder="1" applyAlignment="1" applyProtection="1">
      <alignment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right" vertical="center"/>
      <protection locked="0" hidden="1"/>
    </xf>
    <xf numFmtId="164" fontId="0" fillId="0" borderId="7" xfId="1" applyNumberFormat="1" applyFont="1" applyBorder="1" applyAlignment="1" applyProtection="1">
      <alignment horizontal="right" vertical="center"/>
      <protection hidden="1"/>
    </xf>
    <xf numFmtId="164" fontId="0" fillId="0" borderId="10" xfId="1" applyNumberFormat="1" applyFont="1" applyBorder="1" applyAlignment="1" applyProtection="1">
      <alignment horizontal="right" vertical="center"/>
      <protection hidden="1"/>
    </xf>
    <xf numFmtId="0" fontId="6" fillId="5" borderId="12" xfId="0" applyFont="1" applyFill="1" applyBorder="1" applyAlignment="1" applyProtection="1">
      <alignment vertical="center" wrapText="1"/>
      <protection hidden="1"/>
    </xf>
    <xf numFmtId="0" fontId="0" fillId="5" borderId="12" xfId="0" applyFill="1" applyBorder="1" applyAlignment="1" applyProtection="1">
      <alignment horizontal="center" vertical="center"/>
      <protection hidden="1"/>
    </xf>
    <xf numFmtId="0" fontId="0" fillId="5" borderId="12" xfId="0" applyFill="1" applyBorder="1" applyAlignment="1" applyProtection="1">
      <alignment horizontal="right" vertical="center"/>
      <protection locked="0" hidden="1"/>
    </xf>
    <xf numFmtId="164" fontId="4" fillId="5" borderId="12" xfId="1" applyNumberFormat="1" applyFont="1" applyFill="1" applyBorder="1" applyAlignment="1" applyProtection="1">
      <alignment horizontal="right" vertical="center"/>
      <protection hidden="1"/>
    </xf>
    <xf numFmtId="164" fontId="4" fillId="5" borderId="13" xfId="1" applyNumberFormat="1" applyFont="1" applyFill="1" applyBorder="1" applyAlignment="1" applyProtection="1">
      <alignment horizontal="right" vertical="center"/>
      <protection hidden="1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7" fillId="0" borderId="6" xfId="0" applyFont="1" applyBorder="1" applyAlignment="1" applyProtection="1">
      <alignment vertical="center" wrapText="1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6" xfId="0" applyFont="1" applyBorder="1" applyAlignment="1" applyProtection="1">
      <alignment horizontal="right" vertical="center" wrapText="1"/>
      <protection locked="0" hidden="1"/>
    </xf>
    <xf numFmtId="164" fontId="9" fillId="4" borderId="7" xfId="1" applyNumberFormat="1" applyFont="1" applyFill="1" applyBorder="1" applyAlignment="1" applyProtection="1">
      <alignment horizontal="right" vertical="center"/>
      <protection hidden="1"/>
    </xf>
    <xf numFmtId="164" fontId="8" fillId="6" borderId="10" xfId="1" applyNumberFormat="1" applyFont="1" applyFill="1" applyBorder="1" applyAlignment="1" applyProtection="1">
      <alignment horizontal="right" vertical="center"/>
      <protection hidden="1"/>
    </xf>
    <xf numFmtId="0" fontId="3" fillId="0" borderId="5" xfId="0" applyFont="1" applyBorder="1" applyAlignment="1" applyProtection="1">
      <alignment horizontal="center" vertical="top" wrapText="1"/>
      <protection locked="0" hidden="1"/>
    </xf>
    <xf numFmtId="0" fontId="0" fillId="0" borderId="6" xfId="0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right" vertical="center" wrapText="1"/>
      <protection locked="0" hidden="1"/>
    </xf>
    <xf numFmtId="164" fontId="3" fillId="4" borderId="7" xfId="1" applyNumberFormat="1" applyFont="1" applyFill="1" applyBorder="1" applyAlignment="1" applyProtection="1">
      <alignment horizontal="right" vertical="center"/>
      <protection hidden="1"/>
    </xf>
    <xf numFmtId="164" fontId="3" fillId="6" borderId="10" xfId="1" applyNumberFormat="1" applyFont="1" applyFill="1" applyBorder="1" applyAlignment="1" applyProtection="1">
      <alignment horizontal="right" vertical="center"/>
      <protection hidden="1"/>
    </xf>
    <xf numFmtId="0" fontId="3" fillId="0" borderId="14" xfId="0" applyFont="1" applyBorder="1" applyAlignment="1" applyProtection="1">
      <alignment horizontal="center" vertical="top" wrapText="1"/>
      <protection locked="0" hidden="1"/>
    </xf>
    <xf numFmtId="0" fontId="6" fillId="0" borderId="15" xfId="0" applyFont="1" applyBorder="1" applyAlignment="1" applyProtection="1">
      <alignment vertical="center" wrapText="1"/>
      <protection hidden="1"/>
    </xf>
    <xf numFmtId="0" fontId="0" fillId="0" borderId="15" xfId="0" applyBorder="1" applyAlignment="1" applyProtection="1">
      <alignment horizontal="center" vertical="center" wrapText="1"/>
      <protection hidden="1"/>
    </xf>
    <xf numFmtId="0" fontId="3" fillId="0" borderId="16" xfId="0" applyFont="1" applyBorder="1" applyAlignment="1" applyProtection="1">
      <alignment horizontal="center" vertical="top" wrapText="1"/>
      <protection locked="0" hidden="1"/>
    </xf>
    <xf numFmtId="0" fontId="6" fillId="0" borderId="17" xfId="0" applyFont="1" applyBorder="1" applyAlignment="1" applyProtection="1">
      <alignment vertical="center" wrapText="1"/>
      <protection hidden="1"/>
    </xf>
    <xf numFmtId="0" fontId="0" fillId="0" borderId="17" xfId="0" applyBorder="1" applyAlignment="1" applyProtection="1">
      <alignment horizontal="center" vertical="center" wrapText="1"/>
      <protection hidden="1"/>
    </xf>
    <xf numFmtId="0" fontId="3" fillId="0" borderId="18" xfId="0" applyFont="1" applyBorder="1" applyAlignment="1" applyProtection="1">
      <alignment horizontal="center" vertical="top" wrapText="1"/>
      <protection locked="0" hidden="1"/>
    </xf>
    <xf numFmtId="0" fontId="6" fillId="0" borderId="19" xfId="0" applyFont="1" applyBorder="1" applyAlignment="1" applyProtection="1">
      <alignment vertical="center" wrapText="1"/>
      <protection hidden="1"/>
    </xf>
    <xf numFmtId="0" fontId="0" fillId="0" borderId="19" xfId="0" applyBorder="1" applyAlignment="1" applyProtection="1">
      <alignment horizontal="center" vertical="center" wrapText="1"/>
      <protection hidden="1"/>
    </xf>
    <xf numFmtId="164" fontId="0" fillId="0" borderId="8" xfId="1" applyNumberFormat="1" applyFont="1" applyBorder="1" applyAlignment="1" applyProtection="1">
      <alignment horizontal="right" vertical="top"/>
      <protection hidden="1"/>
    </xf>
    <xf numFmtId="164" fontId="0" fillId="4" borderId="6" xfId="1" applyNumberFormat="1" applyFont="1" applyFill="1" applyBorder="1" applyAlignment="1" applyProtection="1">
      <alignment horizontal="right" vertical="top"/>
      <protection hidden="1"/>
    </xf>
    <xf numFmtId="0" fontId="3" fillId="0" borderId="20" xfId="0" applyFont="1" applyBorder="1" applyAlignment="1" applyProtection="1">
      <alignment horizontal="center" vertical="top"/>
      <protection locked="0" hidden="1"/>
    </xf>
    <xf numFmtId="0" fontId="6" fillId="0" borderId="21" xfId="0" applyFont="1" applyBorder="1" applyAlignment="1" applyProtection="1">
      <alignment vertical="top" wrapText="1"/>
      <protection hidden="1"/>
    </xf>
    <xf numFmtId="0" fontId="0" fillId="0" borderId="21" xfId="0" applyBorder="1" applyAlignment="1" applyProtection="1">
      <alignment horizontal="center" vertical="top"/>
      <protection hidden="1"/>
    </xf>
    <xf numFmtId="0" fontId="0" fillId="0" borderId="21" xfId="0" applyBorder="1" applyAlignment="1" applyProtection="1">
      <alignment horizontal="right" vertical="top"/>
      <protection locked="0" hidden="1"/>
    </xf>
    <xf numFmtId="164" fontId="0" fillId="0" borderId="21" xfId="1" applyNumberFormat="1" applyFont="1" applyBorder="1" applyAlignment="1" applyProtection="1">
      <alignment horizontal="right" vertical="top"/>
      <protection hidden="1"/>
    </xf>
    <xf numFmtId="164" fontId="0" fillId="0" borderId="22" xfId="1" applyNumberFormat="1" applyFont="1" applyBorder="1" applyAlignment="1" applyProtection="1">
      <alignment horizontal="right" vertical="top"/>
      <protection hidden="1"/>
    </xf>
    <xf numFmtId="164" fontId="0" fillId="0" borderId="6" xfId="1" applyNumberFormat="1" applyFont="1" applyBorder="1" applyAlignment="1" applyProtection="1">
      <alignment horizontal="right" vertical="top"/>
      <protection hidden="1"/>
    </xf>
    <xf numFmtId="49" fontId="3" fillId="0" borderId="9" xfId="0" applyNumberFormat="1" applyFont="1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right" vertical="top"/>
      <protection locked="0"/>
    </xf>
    <xf numFmtId="164" fontId="3" fillId="0" borderId="7" xfId="1" applyNumberFormat="1" applyFont="1" applyBorder="1" applyAlignment="1" applyProtection="1">
      <alignment horizontal="right" vertical="top"/>
      <protection hidden="1"/>
    </xf>
    <xf numFmtId="0" fontId="0" fillId="7" borderId="23" xfId="0" applyFill="1" applyBorder="1" applyAlignment="1" applyProtection="1">
      <alignment vertical="center"/>
      <protection hidden="1"/>
    </xf>
    <xf numFmtId="0" fontId="0" fillId="7" borderId="24" xfId="0" applyFill="1" applyBorder="1" applyAlignment="1" applyProtection="1">
      <alignment vertical="center"/>
      <protection hidden="1"/>
    </xf>
    <xf numFmtId="164" fontId="4" fillId="7" borderId="24" xfId="0" applyNumberFormat="1" applyFont="1" applyFill="1" applyBorder="1" applyAlignment="1" applyProtection="1">
      <alignment horizontal="right" vertical="center"/>
      <protection hidden="1"/>
    </xf>
    <xf numFmtId="164" fontId="4" fillId="7" borderId="25" xfId="1" applyNumberFormat="1" applyFont="1" applyFill="1" applyBorder="1" applyAlignment="1" applyProtection="1">
      <alignment horizontal="right" vertical="center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0" xfId="0" applyAlignment="1" applyProtection="1">
      <alignment vertical="center"/>
      <protection hidden="1"/>
    </xf>
    <xf numFmtId="164" fontId="0" fillId="0" borderId="0" xfId="1" applyNumberFormat="1" applyFont="1" applyAlignment="1" applyProtection="1">
      <alignment vertical="center"/>
      <protection hidden="1"/>
    </xf>
    <xf numFmtId="0" fontId="4" fillId="2" borderId="23" xfId="0" applyFont="1" applyFill="1" applyBorder="1" applyAlignment="1" applyProtection="1">
      <alignment vertical="center" wrapText="1"/>
      <protection hidden="1"/>
    </xf>
    <xf numFmtId="0" fontId="0" fillId="2" borderId="24" xfId="0" applyFill="1" applyBorder="1" applyAlignment="1" applyProtection="1">
      <alignment horizontal="center" vertical="center"/>
      <protection hidden="1"/>
    </xf>
    <xf numFmtId="0" fontId="0" fillId="2" borderId="24" xfId="0" applyFill="1" applyBorder="1" applyAlignment="1" applyProtection="1">
      <alignment horizontal="right" vertical="center"/>
      <protection hidden="1"/>
    </xf>
    <xf numFmtId="0" fontId="0" fillId="2" borderId="24" xfId="0" applyFill="1" applyBorder="1" applyAlignment="1" applyProtection="1">
      <alignment vertical="center"/>
      <protection hidden="1"/>
    </xf>
    <xf numFmtId="164" fontId="0" fillId="2" borderId="25" xfId="1" applyNumberFormat="1" applyFont="1" applyFill="1" applyBorder="1" applyAlignment="1" applyProtection="1">
      <alignment vertical="center"/>
      <protection hidden="1"/>
    </xf>
    <xf numFmtId="0" fontId="0" fillId="0" borderId="26" xfId="0" applyBorder="1" applyAlignment="1" applyProtection="1">
      <alignment vertical="center"/>
      <protection hidden="1"/>
    </xf>
    <xf numFmtId="0" fontId="0" fillId="0" borderId="27" xfId="0" applyBorder="1" applyAlignment="1" applyProtection="1">
      <alignment vertical="center"/>
      <protection hidden="1"/>
    </xf>
    <xf numFmtId="0" fontId="2" fillId="0" borderId="28" xfId="0" applyFont="1" applyBorder="1" applyAlignment="1" applyProtection="1">
      <alignment horizontal="right" vertical="center"/>
      <protection hidden="1"/>
    </xf>
    <xf numFmtId="164" fontId="2" fillId="0" borderId="29" xfId="1" applyNumberFormat="1" applyFont="1" applyBorder="1" applyAlignment="1" applyProtection="1">
      <alignment vertical="center"/>
      <protection hidden="1"/>
    </xf>
    <xf numFmtId="0" fontId="0" fillId="0" borderId="30" xfId="0" applyBorder="1" applyAlignment="1" applyProtection="1">
      <alignment vertical="center"/>
      <protection hidden="1"/>
    </xf>
    <xf numFmtId="0" fontId="0" fillId="0" borderId="31" xfId="0" applyBorder="1" applyAlignment="1" applyProtection="1">
      <alignment vertical="center"/>
      <protection hidden="1"/>
    </xf>
    <xf numFmtId="0" fontId="0" fillId="0" borderId="31" xfId="0" applyBorder="1" applyAlignment="1" applyProtection="1">
      <alignment horizontal="right" vertical="center"/>
      <protection hidden="1"/>
    </xf>
    <xf numFmtId="10" fontId="0" fillId="0" borderId="32" xfId="0" applyNumberFormat="1" applyBorder="1" applyAlignment="1" applyProtection="1">
      <alignment horizontal="center" vertical="center"/>
      <protection hidden="1"/>
    </xf>
    <xf numFmtId="164" fontId="0" fillId="0" borderId="33" xfId="1" applyNumberFormat="1" applyFont="1" applyBorder="1" applyAlignment="1" applyProtection="1">
      <alignment vertical="center"/>
      <protection hidden="1"/>
    </xf>
    <xf numFmtId="0" fontId="0" fillId="0" borderId="34" xfId="0" applyBorder="1" applyAlignment="1" applyProtection="1">
      <alignment vertical="center"/>
      <protection hidden="1"/>
    </xf>
    <xf numFmtId="0" fontId="0" fillId="0" borderId="35" xfId="0" applyBorder="1" applyAlignment="1" applyProtection="1">
      <alignment vertical="center"/>
      <protection hidden="1"/>
    </xf>
    <xf numFmtId="0" fontId="0" fillId="0" borderId="35" xfId="0" applyBorder="1" applyAlignment="1" applyProtection="1">
      <alignment horizontal="right" vertical="center"/>
      <protection hidden="1"/>
    </xf>
    <xf numFmtId="10" fontId="0" fillId="0" borderId="36" xfId="0" applyNumberFormat="1" applyBorder="1" applyAlignment="1" applyProtection="1">
      <alignment horizontal="center" vertical="center"/>
      <protection hidden="1"/>
    </xf>
    <xf numFmtId="164" fontId="0" fillId="0" borderId="37" xfId="1" applyNumberFormat="1" applyFont="1" applyBorder="1" applyAlignment="1" applyProtection="1">
      <alignment vertical="center"/>
      <protection hidden="1"/>
    </xf>
    <xf numFmtId="0" fontId="0" fillId="0" borderId="38" xfId="0" applyBorder="1" applyAlignment="1" applyProtection="1">
      <alignment vertical="center"/>
      <protection hidden="1"/>
    </xf>
    <xf numFmtId="0" fontId="0" fillId="0" borderId="39" xfId="0" applyBorder="1" applyAlignment="1" applyProtection="1">
      <alignment vertical="center"/>
      <protection hidden="1"/>
    </xf>
    <xf numFmtId="0" fontId="2" fillId="0" borderId="39" xfId="0" applyFont="1" applyBorder="1" applyAlignment="1" applyProtection="1">
      <alignment horizontal="right" vertical="center"/>
      <protection hidden="1"/>
    </xf>
    <xf numFmtId="10" fontId="2" fillId="0" borderId="40" xfId="0" applyNumberFormat="1" applyFont="1" applyBorder="1" applyAlignment="1" applyProtection="1">
      <alignment horizontal="center" vertical="center"/>
      <protection hidden="1"/>
    </xf>
    <xf numFmtId="164" fontId="2" fillId="0" borderId="37" xfId="1" applyNumberFormat="1" applyFont="1" applyBorder="1" applyAlignment="1" applyProtection="1">
      <alignment vertical="center"/>
      <protection hidden="1"/>
    </xf>
    <xf numFmtId="0" fontId="3" fillId="0" borderId="39" xfId="0" applyFont="1" applyBorder="1" applyAlignment="1" applyProtection="1">
      <alignment horizontal="right" vertical="center"/>
      <protection hidden="1"/>
    </xf>
    <xf numFmtId="10" fontId="3" fillId="0" borderId="40" xfId="0" applyNumberFormat="1" applyFont="1" applyBorder="1" applyAlignment="1" applyProtection="1">
      <alignment horizontal="center" vertical="center"/>
      <protection hidden="1"/>
    </xf>
    <xf numFmtId="164" fontId="2" fillId="0" borderId="41" xfId="1" applyNumberFormat="1" applyFont="1" applyBorder="1" applyAlignment="1" applyProtection="1">
      <alignment vertical="center"/>
      <protection hidden="1"/>
    </xf>
    <xf numFmtId="0" fontId="11" fillId="7" borderId="23" xfId="3" applyFill="1" applyBorder="1" applyAlignment="1" applyProtection="1">
      <alignment vertical="center"/>
      <protection hidden="1"/>
    </xf>
    <xf numFmtId="0" fontId="4" fillId="7" borderId="24" xfId="0" applyFont="1" applyFill="1" applyBorder="1" applyAlignment="1" applyProtection="1">
      <alignment horizontal="right" vertical="center"/>
      <protection hidden="1"/>
    </xf>
    <xf numFmtId="164" fontId="4" fillId="7" borderId="25" xfId="0" applyNumberFormat="1" applyFont="1" applyFill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164" fontId="3" fillId="0" borderId="0" xfId="0" applyNumberFormat="1" applyFont="1" applyAlignment="1" applyProtection="1">
      <alignment horizontal="right" vertical="center"/>
      <protection hidden="1"/>
    </xf>
    <xf numFmtId="0" fontId="0" fillId="8" borderId="26" xfId="0" applyFill="1" applyBorder="1" applyAlignment="1">
      <alignment vertical="center"/>
    </xf>
    <xf numFmtId="0" fontId="0" fillId="8" borderId="27" xfId="0" applyFill="1" applyBorder="1" applyAlignment="1">
      <alignment vertical="center"/>
    </xf>
    <xf numFmtId="0" fontId="3" fillId="8" borderId="27" xfId="0" applyFont="1" applyFill="1" applyBorder="1" applyAlignment="1">
      <alignment horizontal="right" vertical="center"/>
    </xf>
    <xf numFmtId="9" fontId="0" fillId="8" borderId="42" xfId="2" applyFont="1" applyFill="1" applyBorder="1" applyAlignment="1">
      <alignment horizontal="center" vertical="center"/>
    </xf>
    <xf numFmtId="164" fontId="0" fillId="8" borderId="43" xfId="0" applyNumberFormat="1" applyFill="1" applyBorder="1" applyAlignment="1">
      <alignment vertical="center"/>
    </xf>
    <xf numFmtId="0" fontId="0" fillId="8" borderId="44" xfId="0" applyFill="1" applyBorder="1" applyAlignment="1">
      <alignment vertical="center"/>
    </xf>
    <xf numFmtId="0" fontId="0" fillId="8" borderId="45" xfId="0" applyFill="1" applyBorder="1" applyAlignment="1">
      <alignment vertical="center"/>
    </xf>
    <xf numFmtId="0" fontId="3" fillId="8" borderId="45" xfId="0" applyFont="1" applyFill="1" applyBorder="1" applyAlignment="1">
      <alignment horizontal="right" vertical="center"/>
    </xf>
    <xf numFmtId="0" fontId="2" fillId="8" borderId="45" xfId="0" applyFont="1" applyFill="1" applyBorder="1" applyAlignment="1">
      <alignment horizontal="right" vertical="center"/>
    </xf>
    <xf numFmtId="164" fontId="0" fillId="8" borderId="46" xfId="0" applyNumberFormat="1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3" fillId="3" borderId="24" xfId="0" applyFont="1" applyFill="1" applyBorder="1" applyAlignment="1">
      <alignment horizontal="right" vertical="center"/>
    </xf>
    <xf numFmtId="9" fontId="3" fillId="3" borderId="25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0" fontId="2" fillId="3" borderId="24" xfId="0" applyFont="1" applyFill="1" applyBorder="1" applyAlignment="1">
      <alignment horizontal="right" vertical="center"/>
    </xf>
    <xf numFmtId="0" fontId="3" fillId="0" borderId="0" xfId="0" applyFont="1"/>
    <xf numFmtId="0" fontId="3" fillId="9" borderId="52" xfId="0" applyFont="1" applyFill="1" applyBorder="1" applyAlignment="1" applyProtection="1">
      <alignment horizontal="center"/>
      <protection hidden="1"/>
    </xf>
    <xf numFmtId="165" fontId="13" fillId="9" borderId="55" xfId="0" applyNumberFormat="1" applyFont="1" applyFill="1" applyBorder="1" applyAlignment="1" applyProtection="1">
      <alignment horizontal="right" vertical="center"/>
      <protection hidden="1"/>
    </xf>
    <xf numFmtId="0" fontId="3" fillId="9" borderId="0" xfId="0" applyFont="1" applyFill="1" applyAlignment="1" applyProtection="1">
      <alignment horizontal="center"/>
      <protection hidden="1"/>
    </xf>
    <xf numFmtId="165" fontId="13" fillId="9" borderId="56" xfId="0" applyNumberFormat="1" applyFont="1" applyFill="1" applyBorder="1" applyAlignment="1" applyProtection="1">
      <alignment horizontal="right" vertical="center"/>
      <protection hidden="1"/>
    </xf>
    <xf numFmtId="0" fontId="12" fillId="0" borderId="57" xfId="0" applyFont="1" applyBorder="1" applyAlignment="1">
      <alignment horizontal="left" vertical="top"/>
    </xf>
    <xf numFmtId="0" fontId="12" fillId="0" borderId="32" xfId="0" applyFont="1" applyBorder="1" applyAlignment="1">
      <alignment horizontal="center"/>
    </xf>
    <xf numFmtId="165" fontId="12" fillId="0" borderId="36" xfId="0" applyNumberFormat="1" applyFont="1" applyBorder="1" applyAlignment="1">
      <alignment horizontal="center"/>
    </xf>
    <xf numFmtId="165" fontId="12" fillId="0" borderId="58" xfId="0" applyNumberFormat="1" applyFont="1" applyBorder="1" applyAlignment="1">
      <alignment horizontal="center" vertical="center"/>
    </xf>
    <xf numFmtId="0" fontId="12" fillId="0" borderId="0" xfId="0" applyFont="1"/>
    <xf numFmtId="0" fontId="12" fillId="0" borderId="59" xfId="0" applyFont="1" applyBorder="1" applyAlignment="1">
      <alignment horizontal="left" vertical="top"/>
    </xf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right"/>
    </xf>
    <xf numFmtId="165" fontId="12" fillId="0" borderId="56" xfId="0" applyNumberFormat="1" applyFont="1" applyBorder="1" applyAlignment="1">
      <alignment horizontal="right" vertical="center"/>
    </xf>
    <xf numFmtId="0" fontId="13" fillId="0" borderId="59" xfId="0" applyFont="1" applyBorder="1" applyAlignment="1">
      <alignment horizontal="left" vertical="top"/>
    </xf>
    <xf numFmtId="0" fontId="12" fillId="0" borderId="60" xfId="0" applyFont="1" applyBorder="1" applyAlignment="1">
      <alignment horizontal="left" vertical="top"/>
    </xf>
    <xf numFmtId="0" fontId="12" fillId="0" borderId="61" xfId="0" applyFont="1" applyBorder="1" applyAlignment="1">
      <alignment horizontal="center"/>
    </xf>
    <xf numFmtId="165" fontId="12" fillId="0" borderId="61" xfId="0" applyNumberFormat="1" applyFont="1" applyBorder="1"/>
    <xf numFmtId="165" fontId="12" fillId="0" borderId="36" xfId="0" applyNumberFormat="1" applyFont="1" applyBorder="1" applyProtection="1">
      <protection hidden="1"/>
    </xf>
    <xf numFmtId="165" fontId="12" fillId="10" borderId="61" xfId="0" applyNumberFormat="1" applyFont="1" applyFill="1" applyBorder="1" applyAlignment="1">
      <alignment horizontal="right"/>
    </xf>
    <xf numFmtId="165" fontId="12" fillId="0" borderId="62" xfId="0" applyNumberFormat="1" applyFont="1" applyBorder="1" applyAlignment="1">
      <alignment horizontal="right" vertical="center"/>
    </xf>
    <xf numFmtId="0" fontId="12" fillId="0" borderId="60" xfId="0" applyFont="1" applyBorder="1" applyAlignment="1" applyProtection="1">
      <alignment horizontal="left" vertical="top"/>
      <protection hidden="1"/>
    </xf>
    <xf numFmtId="0" fontId="12" fillId="0" borderId="32" xfId="0" applyFont="1" applyBorder="1" applyAlignment="1" applyProtection="1">
      <alignment horizontal="center"/>
      <protection hidden="1"/>
    </xf>
    <xf numFmtId="0" fontId="12" fillId="0" borderId="32" xfId="0" applyFont="1" applyBorder="1" applyProtection="1">
      <protection hidden="1"/>
    </xf>
    <xf numFmtId="165" fontId="12" fillId="0" borderId="32" xfId="0" applyNumberFormat="1" applyFont="1" applyBorder="1" applyAlignment="1" applyProtection="1">
      <alignment horizontal="right"/>
      <protection hidden="1"/>
    </xf>
    <xf numFmtId="166" fontId="12" fillId="0" borderId="62" xfId="0" applyNumberFormat="1" applyFont="1" applyBorder="1" applyAlignment="1" applyProtection="1">
      <alignment horizontal="right" vertical="center"/>
      <protection hidden="1"/>
    </xf>
    <xf numFmtId="165" fontId="12" fillId="0" borderId="63" xfId="0" applyNumberFormat="1" applyFont="1" applyBorder="1" applyAlignment="1">
      <alignment horizontal="right" vertical="center"/>
    </xf>
    <xf numFmtId="0" fontId="12" fillId="0" borderId="64" xfId="0" applyFont="1" applyBorder="1" applyAlignment="1">
      <alignment horizontal="left" vertical="top"/>
    </xf>
    <xf numFmtId="0" fontId="12" fillId="0" borderId="65" xfId="0" applyFont="1" applyBorder="1" applyAlignment="1">
      <alignment horizontal="center"/>
    </xf>
    <xf numFmtId="167" fontId="12" fillId="0" borderId="40" xfId="0" applyNumberFormat="1" applyFont="1" applyBorder="1"/>
    <xf numFmtId="0" fontId="12" fillId="0" borderId="65" xfId="0" applyFont="1" applyBorder="1"/>
    <xf numFmtId="165" fontId="12" fillId="0" borderId="65" xfId="0" applyNumberFormat="1" applyFont="1" applyBorder="1" applyAlignment="1">
      <alignment horizontal="right"/>
    </xf>
    <xf numFmtId="165" fontId="12" fillId="0" borderId="66" xfId="0" applyNumberFormat="1" applyFont="1" applyBorder="1" applyAlignment="1">
      <alignment horizontal="right" vertical="center"/>
    </xf>
    <xf numFmtId="9" fontId="12" fillId="0" borderId="57" xfId="0" applyNumberFormat="1" applyFont="1" applyBorder="1" applyAlignment="1" applyProtection="1">
      <alignment horizontal="left" vertical="top"/>
      <protection hidden="1"/>
    </xf>
    <xf numFmtId="9" fontId="12" fillId="0" borderId="36" xfId="0" applyNumberFormat="1" applyFont="1" applyBorder="1" applyAlignment="1" applyProtection="1">
      <alignment horizontal="center"/>
      <protection hidden="1"/>
    </xf>
    <xf numFmtId="43" fontId="12" fillId="0" borderId="67" xfId="0" applyNumberFormat="1" applyFont="1" applyBorder="1" applyAlignment="1" applyProtection="1">
      <alignment horizontal="right" vertical="center"/>
      <protection hidden="1"/>
    </xf>
    <xf numFmtId="165" fontId="12" fillId="0" borderId="68" xfId="0" applyNumberFormat="1" applyFont="1" applyBorder="1" applyAlignment="1">
      <alignment horizontal="right" vertical="center"/>
    </xf>
    <xf numFmtId="0" fontId="12" fillId="0" borderId="69" xfId="0" applyFont="1" applyBorder="1" applyAlignment="1" applyProtection="1">
      <alignment horizontal="left" vertical="top"/>
      <protection hidden="1"/>
    </xf>
    <xf numFmtId="0" fontId="12" fillId="0" borderId="36" xfId="0" applyFont="1" applyBorder="1" applyAlignment="1" applyProtection="1">
      <alignment horizontal="center"/>
      <protection hidden="1"/>
    </xf>
    <xf numFmtId="0" fontId="12" fillId="0" borderId="36" xfId="0" applyFont="1" applyBorder="1" applyProtection="1">
      <protection hidden="1"/>
    </xf>
    <xf numFmtId="9" fontId="12" fillId="0" borderId="36" xfId="0" applyNumberFormat="1" applyFont="1" applyBorder="1" applyAlignment="1" applyProtection="1">
      <alignment horizontal="right"/>
      <protection hidden="1"/>
    </xf>
    <xf numFmtId="166" fontId="12" fillId="0" borderId="58" xfId="0" applyNumberFormat="1" applyFont="1" applyBorder="1" applyAlignment="1" applyProtection="1">
      <alignment horizontal="right" vertical="center"/>
      <protection hidden="1"/>
    </xf>
    <xf numFmtId="0" fontId="12" fillId="0" borderId="70" xfId="0" applyFont="1" applyBorder="1" applyAlignment="1" applyProtection="1">
      <alignment horizontal="left" vertical="top"/>
      <protection hidden="1"/>
    </xf>
    <xf numFmtId="0" fontId="12" fillId="0" borderId="71" xfId="0" applyFont="1" applyBorder="1" applyAlignment="1" applyProtection="1">
      <alignment horizontal="center"/>
      <protection hidden="1"/>
    </xf>
    <xf numFmtId="167" fontId="12" fillId="0" borderId="65" xfId="0" applyNumberFormat="1" applyFont="1" applyBorder="1" applyAlignment="1">
      <alignment horizontal="right"/>
    </xf>
    <xf numFmtId="0" fontId="12" fillId="0" borderId="61" xfId="0" applyFont="1" applyBorder="1" applyProtection="1">
      <protection hidden="1"/>
    </xf>
    <xf numFmtId="165" fontId="12" fillId="10" borderId="36" xfId="0" applyNumberFormat="1" applyFont="1" applyFill="1" applyBorder="1" applyAlignment="1" applyProtection="1">
      <alignment horizontal="right"/>
      <protection hidden="1"/>
    </xf>
    <xf numFmtId="166" fontId="12" fillId="0" borderId="72" xfId="0" applyNumberFormat="1" applyFont="1" applyBorder="1" applyAlignment="1" applyProtection="1">
      <alignment horizontal="right" vertical="center"/>
      <protection hidden="1"/>
    </xf>
    <xf numFmtId="0" fontId="12" fillId="0" borderId="73" xfId="0" applyFont="1" applyBorder="1" applyAlignment="1" applyProtection="1">
      <alignment horizontal="left" vertical="top"/>
      <protection hidden="1"/>
    </xf>
    <xf numFmtId="0" fontId="12" fillId="0" borderId="74" xfId="0" applyFont="1" applyBorder="1" applyAlignment="1" applyProtection="1">
      <alignment horizontal="center"/>
      <protection hidden="1"/>
    </xf>
    <xf numFmtId="0" fontId="12" fillId="0" borderId="74" xfId="0" applyFont="1" applyBorder="1" applyProtection="1">
      <protection hidden="1"/>
    </xf>
    <xf numFmtId="9" fontId="12" fillId="0" borderId="74" xfId="0" applyNumberFormat="1" applyFont="1" applyBorder="1" applyAlignment="1" applyProtection="1">
      <alignment horizontal="right"/>
      <protection hidden="1"/>
    </xf>
    <xf numFmtId="166" fontId="12" fillId="0" borderId="75" xfId="0" applyNumberFormat="1" applyFont="1" applyBorder="1" applyAlignment="1" applyProtection="1">
      <alignment horizontal="right" vertical="center"/>
      <protection hidden="1"/>
    </xf>
    <xf numFmtId="0" fontId="12" fillId="0" borderId="57" xfId="0" applyFont="1" applyBorder="1" applyAlignment="1" applyProtection="1">
      <alignment horizontal="left" vertical="top"/>
      <protection hidden="1"/>
    </xf>
    <xf numFmtId="0" fontId="12" fillId="0" borderId="76" xfId="0" applyFont="1" applyBorder="1" applyAlignment="1" applyProtection="1">
      <alignment horizontal="center"/>
      <protection hidden="1"/>
    </xf>
    <xf numFmtId="0" fontId="12" fillId="0" borderId="76" xfId="0" applyFont="1" applyBorder="1" applyProtection="1">
      <protection hidden="1"/>
    </xf>
    <xf numFmtId="9" fontId="12" fillId="0" borderId="76" xfId="0" applyNumberFormat="1" applyFont="1" applyBorder="1" applyAlignment="1" applyProtection="1">
      <alignment horizontal="right"/>
      <protection hidden="1"/>
    </xf>
    <xf numFmtId="166" fontId="12" fillId="0" borderId="67" xfId="0" applyNumberFormat="1" applyFont="1" applyBorder="1" applyAlignment="1" applyProtection="1">
      <alignment horizontal="right" vertical="center"/>
      <protection hidden="1"/>
    </xf>
    <xf numFmtId="9" fontId="12" fillId="0" borderId="32" xfId="0" applyNumberFormat="1" applyFont="1" applyBorder="1" applyAlignment="1" applyProtection="1">
      <alignment horizontal="center"/>
      <protection hidden="1"/>
    </xf>
    <xf numFmtId="4" fontId="12" fillId="9" borderId="77" xfId="0" applyNumberFormat="1" applyFont="1" applyFill="1" applyBorder="1" applyAlignment="1" applyProtection="1">
      <alignment horizontal="left" vertical="top"/>
      <protection hidden="1"/>
    </xf>
    <xf numFmtId="0" fontId="12" fillId="9" borderId="78" xfId="0" applyFont="1" applyFill="1" applyBorder="1" applyAlignment="1" applyProtection="1">
      <alignment horizontal="center"/>
      <protection hidden="1"/>
    </xf>
    <xf numFmtId="0" fontId="12" fillId="9" borderId="79" xfId="0" applyFont="1" applyFill="1" applyBorder="1" applyProtection="1">
      <protection hidden="1"/>
    </xf>
    <xf numFmtId="0" fontId="13" fillId="9" borderId="79" xfId="0" applyFont="1" applyFill="1" applyBorder="1" applyAlignment="1" applyProtection="1">
      <alignment horizontal="right"/>
      <protection hidden="1"/>
    </xf>
    <xf numFmtId="165" fontId="12" fillId="9" borderId="79" xfId="0" applyNumberFormat="1" applyFont="1" applyFill="1" applyBorder="1" applyAlignment="1" applyProtection="1">
      <alignment horizontal="right"/>
      <protection hidden="1"/>
    </xf>
    <xf numFmtId="165" fontId="13" fillId="9" borderId="80" xfId="0" applyNumberFormat="1" applyFont="1" applyFill="1" applyBorder="1" applyAlignment="1" applyProtection="1">
      <alignment horizontal="right"/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65" fontId="12" fillId="10" borderId="65" xfId="0" applyNumberFormat="1" applyFont="1" applyFill="1" applyBorder="1" applyAlignment="1">
      <alignment horizontal="right"/>
    </xf>
    <xf numFmtId="167" fontId="12" fillId="0" borderId="61" xfId="0" applyNumberFormat="1" applyFont="1" applyBorder="1"/>
    <xf numFmtId="0" fontId="12" fillId="0" borderId="73" xfId="0" applyFont="1" applyBorder="1" applyAlignment="1">
      <alignment horizontal="left" vertical="top"/>
    </xf>
    <xf numFmtId="165" fontId="12" fillId="0" borderId="75" xfId="0" applyNumberFormat="1" applyFont="1" applyBorder="1" applyAlignment="1">
      <alignment horizontal="right" vertical="center"/>
    </xf>
    <xf numFmtId="0" fontId="12" fillId="0" borderId="69" xfId="0" applyFont="1" applyBorder="1" applyAlignment="1">
      <alignment horizontal="left" vertical="top"/>
    </xf>
    <xf numFmtId="0" fontId="12" fillId="0" borderId="36" xfId="0" applyFont="1" applyBorder="1" applyAlignment="1">
      <alignment horizontal="center"/>
    </xf>
    <xf numFmtId="165" fontId="12" fillId="10" borderId="36" xfId="0" applyNumberFormat="1" applyFont="1" applyFill="1" applyBorder="1" applyAlignment="1">
      <alignment horizontal="right"/>
    </xf>
    <xf numFmtId="165" fontId="12" fillId="0" borderId="58" xfId="0" applyNumberFormat="1" applyFont="1" applyBorder="1" applyAlignment="1">
      <alignment horizontal="right" vertical="center"/>
    </xf>
    <xf numFmtId="165" fontId="12" fillId="0" borderId="36" xfId="0" applyNumberFormat="1" applyFont="1" applyBorder="1" applyAlignment="1" applyProtection="1">
      <alignment horizontal="right"/>
      <protection hidden="1"/>
    </xf>
    <xf numFmtId="0" fontId="12" fillId="0" borderId="65" xfId="0" applyFont="1" applyBorder="1" applyProtection="1">
      <protection hidden="1"/>
    </xf>
    <xf numFmtId="2" fontId="12" fillId="0" borderId="32" xfId="0" applyNumberFormat="1" applyFont="1" applyBorder="1" applyProtection="1">
      <protection hidden="1"/>
    </xf>
    <xf numFmtId="0" fontId="12" fillId="0" borderId="61" xfId="0" applyFont="1" applyBorder="1" applyAlignment="1" applyProtection="1">
      <alignment horizontal="center"/>
      <protection hidden="1"/>
    </xf>
    <xf numFmtId="0" fontId="12" fillId="0" borderId="81" xfId="0" applyFont="1" applyBorder="1" applyProtection="1">
      <protection hidden="1"/>
    </xf>
    <xf numFmtId="165" fontId="12" fillId="0" borderId="61" xfId="0" applyNumberFormat="1" applyFont="1" applyBorder="1" applyAlignment="1" applyProtection="1">
      <alignment horizontal="right"/>
      <protection hidden="1"/>
    </xf>
    <xf numFmtId="165" fontId="12" fillId="0" borderId="36" xfId="0" applyNumberFormat="1" applyFont="1" applyBorder="1"/>
    <xf numFmtId="0" fontId="12" fillId="0" borderId="36" xfId="0" applyFont="1" applyBorder="1"/>
    <xf numFmtId="168" fontId="12" fillId="0" borderId="67" xfId="0" applyNumberFormat="1" applyFont="1" applyBorder="1" applyAlignment="1" applyProtection="1">
      <alignment horizontal="right" vertical="center"/>
      <protection hidden="1"/>
    </xf>
    <xf numFmtId="167" fontId="12" fillId="0" borderId="36" xfId="0" applyNumberFormat="1" applyFont="1" applyBorder="1" applyProtection="1">
      <protection hidden="1"/>
    </xf>
    <xf numFmtId="0" fontId="12" fillId="0" borderId="71" xfId="0" applyFont="1" applyBorder="1" applyProtection="1">
      <protection hidden="1"/>
    </xf>
    <xf numFmtId="0" fontId="12" fillId="0" borderId="81" xfId="0" applyFont="1" applyBorder="1" applyAlignment="1" applyProtection="1">
      <alignment horizontal="center"/>
      <protection hidden="1"/>
    </xf>
    <xf numFmtId="165" fontId="12" fillId="0" borderId="32" xfId="0" applyNumberFormat="1" applyFont="1" applyBorder="1" applyAlignment="1">
      <alignment horizontal="right"/>
    </xf>
    <xf numFmtId="9" fontId="12" fillId="0" borderId="81" xfId="0" applyNumberFormat="1" applyFont="1" applyBorder="1" applyAlignment="1" applyProtection="1">
      <alignment horizontal="right"/>
      <protection hidden="1"/>
    </xf>
    <xf numFmtId="9" fontId="12" fillId="0" borderId="69" xfId="0" applyNumberFormat="1" applyFont="1" applyBorder="1" applyAlignment="1" applyProtection="1">
      <alignment horizontal="left" vertical="top"/>
      <protection hidden="1"/>
    </xf>
    <xf numFmtId="168" fontId="12" fillId="0" borderId="58" xfId="0" applyNumberFormat="1" applyFont="1" applyBorder="1" applyAlignment="1" applyProtection="1">
      <alignment horizontal="right" vertical="center"/>
      <protection hidden="1"/>
    </xf>
    <xf numFmtId="9" fontId="12" fillId="0" borderId="32" xfId="0" applyNumberFormat="1" applyFont="1" applyBorder="1" applyAlignment="1" applyProtection="1">
      <alignment horizontal="right"/>
      <protection hidden="1"/>
    </xf>
    <xf numFmtId="0" fontId="12" fillId="0" borderId="82" xfId="0" applyFont="1" applyBorder="1" applyAlignment="1" applyProtection="1">
      <alignment horizontal="left" vertical="top"/>
      <protection hidden="1"/>
    </xf>
    <xf numFmtId="0" fontId="12" fillId="0" borderId="83" xfId="0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>
      <alignment horizontal="right"/>
    </xf>
    <xf numFmtId="0" fontId="12" fillId="0" borderId="84" xfId="0" applyFont="1" applyBorder="1" applyProtection="1">
      <protection hidden="1"/>
    </xf>
    <xf numFmtId="9" fontId="12" fillId="0" borderId="83" xfId="0" applyNumberFormat="1" applyFont="1" applyBorder="1" applyAlignment="1" applyProtection="1">
      <alignment horizontal="right"/>
      <protection hidden="1"/>
    </xf>
    <xf numFmtId="165" fontId="12" fillId="0" borderId="65" xfId="0" applyNumberFormat="1" applyFont="1" applyBorder="1"/>
    <xf numFmtId="165" fontId="12" fillId="0" borderId="81" xfId="0" applyNumberFormat="1" applyFont="1" applyBorder="1" applyAlignment="1" applyProtection="1">
      <alignment horizontal="right"/>
      <protection hidden="1"/>
    </xf>
    <xf numFmtId="9" fontId="12" fillId="0" borderId="61" xfId="0" applyNumberFormat="1" applyFont="1" applyBorder="1" applyAlignment="1" applyProtection="1">
      <alignment horizontal="right"/>
      <protection hidden="1"/>
    </xf>
    <xf numFmtId="165" fontId="12" fillId="0" borderId="85" xfId="0" applyNumberFormat="1" applyFont="1" applyBorder="1" applyAlignment="1">
      <alignment horizontal="right"/>
    </xf>
    <xf numFmtId="165" fontId="12" fillId="0" borderId="61" xfId="0" applyNumberFormat="1" applyFont="1" applyBorder="1" applyProtection="1">
      <protection hidden="1"/>
    </xf>
    <xf numFmtId="165" fontId="12" fillId="10" borderId="61" xfId="0" applyNumberFormat="1" applyFont="1" applyFill="1" applyBorder="1" applyAlignment="1" applyProtection="1">
      <alignment horizontal="right"/>
      <protection hidden="1"/>
    </xf>
    <xf numFmtId="165" fontId="12" fillId="0" borderId="81" xfId="0" applyNumberFormat="1" applyFont="1" applyBorder="1" applyProtection="1">
      <protection hidden="1"/>
    </xf>
    <xf numFmtId="165" fontId="12" fillId="10" borderId="81" xfId="0" applyNumberFormat="1" applyFont="1" applyFill="1" applyBorder="1" applyAlignment="1" applyProtection="1">
      <alignment horizontal="right"/>
      <protection hidden="1"/>
    </xf>
    <xf numFmtId="165" fontId="13" fillId="0" borderId="68" xfId="0" applyNumberFormat="1" applyFont="1" applyBorder="1" applyAlignment="1">
      <alignment horizontal="right" vertical="center"/>
    </xf>
    <xf numFmtId="165" fontId="12" fillId="10" borderId="86" xfId="0" applyNumberFormat="1" applyFont="1" applyFill="1" applyBorder="1" applyAlignment="1">
      <alignment horizontal="right"/>
    </xf>
    <xf numFmtId="9" fontId="3" fillId="0" borderId="40" xfId="0" applyNumberFormat="1" applyFont="1" applyBorder="1" applyAlignment="1">
      <alignment horizontal="center"/>
    </xf>
    <xf numFmtId="165" fontId="12" fillId="0" borderId="86" xfId="0" applyNumberFormat="1" applyFont="1" applyBorder="1" applyAlignment="1">
      <alignment horizontal="right"/>
    </xf>
    <xf numFmtId="166" fontId="12" fillId="0" borderId="87" xfId="0" applyNumberFormat="1" applyFont="1" applyBorder="1" applyAlignment="1" applyProtection="1">
      <alignment horizontal="right" vertical="center"/>
      <protection hidden="1"/>
    </xf>
    <xf numFmtId="4" fontId="12" fillId="11" borderId="36" xfId="0" applyNumberFormat="1" applyFont="1" applyFill="1" applyBorder="1" applyAlignment="1" applyProtection="1">
      <alignment horizontal="right"/>
      <protection hidden="1"/>
    </xf>
    <xf numFmtId="165" fontId="12" fillId="11" borderId="36" xfId="0" applyNumberFormat="1" applyFont="1" applyFill="1" applyBorder="1" applyAlignment="1" applyProtection="1">
      <alignment horizontal="right"/>
      <protection hidden="1"/>
    </xf>
    <xf numFmtId="0" fontId="12" fillId="0" borderId="88" xfId="0" applyFont="1" applyBorder="1" applyAlignment="1" applyProtection="1">
      <alignment horizontal="left" vertical="top"/>
      <protection hidden="1"/>
    </xf>
    <xf numFmtId="4" fontId="12" fillId="11" borderId="7" xfId="0" applyNumberFormat="1" applyFont="1" applyFill="1" applyBorder="1" applyAlignment="1" applyProtection="1">
      <alignment horizontal="right"/>
      <protection hidden="1"/>
    </xf>
    <xf numFmtId="9" fontId="12" fillId="0" borderId="61" xfId="0" applyNumberFormat="1" applyFont="1" applyBorder="1" applyAlignment="1">
      <alignment horizontal="center"/>
    </xf>
    <xf numFmtId="165" fontId="12" fillId="0" borderId="61" xfId="0" applyNumberFormat="1" applyFont="1" applyBorder="1" applyAlignment="1">
      <alignment horizontal="right"/>
    </xf>
    <xf numFmtId="165" fontId="12" fillId="11" borderId="89" xfId="0" applyNumberFormat="1" applyFont="1" applyFill="1" applyBorder="1" applyAlignment="1">
      <alignment horizontal="right"/>
    </xf>
    <xf numFmtId="0" fontId="12" fillId="0" borderId="90" xfId="0" applyFont="1" applyBorder="1" applyAlignment="1" applyProtection="1">
      <alignment horizontal="left" vertical="top"/>
      <protection hidden="1"/>
    </xf>
    <xf numFmtId="0" fontId="12" fillId="0" borderId="40" xfId="0" applyFont="1" applyBorder="1" applyAlignment="1" applyProtection="1">
      <alignment horizontal="center"/>
      <protection hidden="1"/>
    </xf>
    <xf numFmtId="9" fontId="12" fillId="0" borderId="40" xfId="0" applyNumberFormat="1" applyFont="1" applyBorder="1" applyAlignment="1" applyProtection="1">
      <alignment horizontal="center"/>
      <protection hidden="1"/>
    </xf>
    <xf numFmtId="0" fontId="12" fillId="0" borderId="40" xfId="0" applyFont="1" applyBorder="1" applyProtection="1">
      <protection hidden="1"/>
    </xf>
    <xf numFmtId="165" fontId="12" fillId="0" borderId="40" xfId="0" applyNumberFormat="1" applyFont="1" applyBorder="1" applyAlignment="1" applyProtection="1">
      <alignment horizontal="right"/>
      <protection hidden="1"/>
    </xf>
    <xf numFmtId="0" fontId="12" fillId="0" borderId="64" xfId="0" applyFont="1" applyBorder="1" applyAlignment="1" applyProtection="1">
      <alignment horizontal="left" vertical="top"/>
      <protection hidden="1"/>
    </xf>
    <xf numFmtId="0" fontId="12" fillId="0" borderId="65" xfId="0" applyFont="1" applyBorder="1" applyAlignment="1" applyProtection="1">
      <alignment horizontal="center"/>
      <protection hidden="1"/>
    </xf>
    <xf numFmtId="169" fontId="12" fillId="0" borderId="65" xfId="0" applyNumberFormat="1" applyFont="1" applyBorder="1" applyProtection="1">
      <protection hidden="1"/>
    </xf>
    <xf numFmtId="165" fontId="12" fillId="10" borderId="65" xfId="0" applyNumberFormat="1" applyFont="1" applyFill="1" applyBorder="1" applyAlignment="1" applyProtection="1">
      <alignment horizontal="right"/>
      <protection hidden="1"/>
    </xf>
    <xf numFmtId="166" fontId="12" fillId="0" borderId="66" xfId="0" applyNumberFormat="1" applyFont="1" applyBorder="1" applyAlignment="1" applyProtection="1">
      <alignment horizontal="right" vertical="center"/>
      <protection hidden="1"/>
    </xf>
    <xf numFmtId="169" fontId="12" fillId="0" borderId="32" xfId="0" applyNumberFormat="1" applyFont="1" applyBorder="1" applyProtection="1">
      <protection hidden="1"/>
    </xf>
    <xf numFmtId="165" fontId="12" fillId="10" borderId="32" xfId="0" applyNumberFormat="1" applyFont="1" applyFill="1" applyBorder="1" applyAlignment="1" applyProtection="1">
      <alignment horizontal="right"/>
      <protection hidden="1"/>
    </xf>
    <xf numFmtId="4" fontId="12" fillId="11" borderId="40" xfId="0" applyNumberFormat="1" applyFont="1" applyFill="1" applyBorder="1" applyAlignment="1" applyProtection="1">
      <alignment horizontal="right"/>
      <protection hidden="1"/>
    </xf>
    <xf numFmtId="165" fontId="12" fillId="11" borderId="40" xfId="0" applyNumberFormat="1" applyFont="1" applyFill="1" applyBorder="1" applyAlignment="1" applyProtection="1">
      <alignment horizontal="right"/>
      <protection hidden="1"/>
    </xf>
    <xf numFmtId="165" fontId="12" fillId="11" borderId="86" xfId="0" applyNumberFormat="1" applyFont="1" applyFill="1" applyBorder="1" applyAlignment="1">
      <alignment horizontal="right"/>
    </xf>
    <xf numFmtId="43" fontId="12" fillId="0" borderId="66" xfId="0" applyNumberFormat="1" applyFont="1" applyBorder="1" applyAlignment="1" applyProtection="1">
      <alignment horizontal="right" vertical="center"/>
      <protection hidden="1"/>
    </xf>
    <xf numFmtId="0" fontId="12" fillId="0" borderId="91" xfId="0" applyFont="1" applyBorder="1" applyAlignment="1" applyProtection="1">
      <alignment horizontal="left" vertical="top"/>
      <protection hidden="1"/>
    </xf>
    <xf numFmtId="166" fontId="12" fillId="0" borderId="92" xfId="0" applyNumberFormat="1" applyFont="1" applyBorder="1" applyAlignment="1" applyProtection="1">
      <alignment horizontal="right" vertical="center"/>
      <protection hidden="1"/>
    </xf>
    <xf numFmtId="165" fontId="12" fillId="10" borderId="89" xfId="0" applyNumberFormat="1" applyFont="1" applyFill="1" applyBorder="1" applyAlignment="1" applyProtection="1">
      <alignment horizontal="right"/>
      <protection hidden="1"/>
    </xf>
    <xf numFmtId="165" fontId="12" fillId="10" borderId="40" xfId="0" applyNumberFormat="1" applyFont="1" applyFill="1" applyBorder="1" applyAlignment="1" applyProtection="1">
      <alignment horizontal="right"/>
      <protection hidden="1"/>
    </xf>
    <xf numFmtId="169" fontId="12" fillId="0" borderId="36" xfId="0" applyNumberFormat="1" applyFont="1" applyBorder="1" applyProtection="1">
      <protection hidden="1"/>
    </xf>
    <xf numFmtId="0" fontId="12" fillId="0" borderId="7" xfId="0" applyFont="1" applyBorder="1" applyAlignment="1" applyProtection="1">
      <alignment horizontal="center"/>
      <protection hidden="1"/>
    </xf>
    <xf numFmtId="165" fontId="12" fillId="0" borderId="67" xfId="0" applyNumberFormat="1" applyFont="1" applyBorder="1" applyAlignment="1">
      <alignment horizontal="right" vertical="center"/>
    </xf>
    <xf numFmtId="0" fontId="12" fillId="0" borderId="93" xfId="0" applyFont="1" applyBorder="1" applyAlignment="1" applyProtection="1">
      <alignment horizontal="center"/>
      <protection hidden="1"/>
    </xf>
    <xf numFmtId="164" fontId="12" fillId="10" borderId="61" xfId="0" applyNumberFormat="1" applyFont="1" applyFill="1" applyBorder="1" applyAlignment="1" applyProtection="1">
      <alignment horizontal="right"/>
      <protection hidden="1"/>
    </xf>
    <xf numFmtId="166" fontId="12" fillId="0" borderId="94" xfId="0" applyNumberFormat="1" applyFont="1" applyBorder="1" applyAlignment="1" applyProtection="1">
      <alignment horizontal="right" vertical="center"/>
      <protection hidden="1"/>
    </xf>
    <xf numFmtId="166" fontId="12" fillId="0" borderId="95" xfId="0" applyNumberFormat="1" applyFont="1" applyBorder="1" applyAlignment="1" applyProtection="1">
      <alignment horizontal="right" vertical="center"/>
      <protection hidden="1"/>
    </xf>
    <xf numFmtId="0" fontId="12" fillId="0" borderId="96" xfId="0" applyFont="1" applyBorder="1" applyAlignment="1" applyProtection="1">
      <alignment horizontal="left" vertical="top"/>
      <protection hidden="1"/>
    </xf>
    <xf numFmtId="0" fontId="12" fillId="0" borderId="97" xfId="0" applyFont="1" applyBorder="1" applyAlignment="1" applyProtection="1">
      <alignment horizontal="center"/>
      <protection hidden="1"/>
    </xf>
    <xf numFmtId="2" fontId="12" fillId="0" borderId="97" xfId="0" applyNumberFormat="1" applyFont="1" applyBorder="1" applyProtection="1">
      <protection hidden="1"/>
    </xf>
    <xf numFmtId="0" fontId="12" fillId="0" borderId="97" xfId="0" applyFont="1" applyBorder="1" applyProtection="1">
      <protection hidden="1"/>
    </xf>
    <xf numFmtId="0" fontId="12" fillId="0" borderId="98" xfId="0" applyFont="1" applyBorder="1" applyAlignment="1" applyProtection="1">
      <alignment horizontal="center"/>
      <protection hidden="1"/>
    </xf>
    <xf numFmtId="2" fontId="12" fillId="0" borderId="74" xfId="0" applyNumberFormat="1" applyFont="1" applyBorder="1" applyProtection="1">
      <protection hidden="1"/>
    </xf>
    <xf numFmtId="4" fontId="12" fillId="0" borderId="40" xfId="0" applyNumberFormat="1" applyFont="1" applyBorder="1" applyProtection="1">
      <protection hidden="1"/>
    </xf>
    <xf numFmtId="4" fontId="12" fillId="11" borderId="89" xfId="0" applyNumberFormat="1" applyFont="1" applyFill="1" applyBorder="1" applyAlignment="1" applyProtection="1">
      <alignment horizontal="right"/>
      <protection hidden="1"/>
    </xf>
    <xf numFmtId="9" fontId="12" fillId="0" borderId="89" xfId="0" applyNumberFormat="1" applyFont="1" applyBorder="1" applyAlignment="1" applyProtection="1">
      <alignment horizontal="center"/>
      <protection hidden="1"/>
    </xf>
    <xf numFmtId="4" fontId="12" fillId="0" borderId="89" xfId="0" applyNumberFormat="1" applyFont="1" applyBorder="1" applyProtection="1">
      <protection hidden="1"/>
    </xf>
    <xf numFmtId="166" fontId="12" fillId="0" borderId="56" xfId="0" applyNumberFormat="1" applyFont="1" applyBorder="1" applyAlignment="1" applyProtection="1">
      <alignment horizontal="right" vertical="center"/>
      <protection hidden="1"/>
    </xf>
    <xf numFmtId="0" fontId="12" fillId="0" borderId="70" xfId="0" applyFont="1" applyBorder="1" applyAlignment="1" applyProtection="1">
      <alignment horizontal="left" vertical="top" wrapText="1"/>
      <protection hidden="1"/>
    </xf>
    <xf numFmtId="164" fontId="12" fillId="0" borderId="71" xfId="0" applyNumberFormat="1" applyFont="1" applyBorder="1" applyProtection="1">
      <protection hidden="1"/>
    </xf>
    <xf numFmtId="43" fontId="12" fillId="0" borderId="72" xfId="0" applyNumberFormat="1" applyFont="1" applyBorder="1" applyAlignment="1" applyProtection="1">
      <alignment horizontal="right" vertical="center"/>
      <protection hidden="1"/>
    </xf>
    <xf numFmtId="0" fontId="12" fillId="0" borderId="88" xfId="0" applyFont="1" applyBorder="1" applyAlignment="1" applyProtection="1">
      <alignment horizontal="left" vertical="top" wrapText="1"/>
      <protection hidden="1"/>
    </xf>
    <xf numFmtId="164" fontId="12" fillId="0" borderId="74" xfId="0" applyNumberFormat="1" applyFont="1" applyBorder="1" applyProtection="1">
      <protection hidden="1"/>
    </xf>
    <xf numFmtId="164" fontId="12" fillId="0" borderId="32" xfId="0" applyNumberFormat="1" applyFont="1" applyBorder="1" applyProtection="1">
      <protection hidden="1"/>
    </xf>
    <xf numFmtId="164" fontId="12" fillId="0" borderId="76" xfId="0" applyNumberFormat="1" applyFont="1" applyBorder="1" applyProtection="1">
      <protection hidden="1"/>
    </xf>
    <xf numFmtId="0" fontId="12" fillId="0" borderId="73" xfId="0" applyFont="1" applyBorder="1" applyAlignment="1" applyProtection="1">
      <alignment horizontal="left" vertical="top" wrapText="1"/>
      <protection hidden="1"/>
    </xf>
    <xf numFmtId="164" fontId="12" fillId="0" borderId="81" xfId="0" applyNumberFormat="1" applyFont="1" applyBorder="1" applyProtection="1">
      <protection hidden="1"/>
    </xf>
    <xf numFmtId="43" fontId="12" fillId="0" borderId="75" xfId="0" applyNumberFormat="1" applyFont="1" applyBorder="1" applyAlignment="1" applyProtection="1">
      <alignment horizontal="right" vertical="center"/>
      <protection hidden="1"/>
    </xf>
    <xf numFmtId="165" fontId="12" fillId="10" borderId="74" xfId="0" applyNumberFormat="1" applyFont="1" applyFill="1" applyBorder="1" applyAlignment="1" applyProtection="1">
      <alignment horizontal="right"/>
      <protection hidden="1"/>
    </xf>
    <xf numFmtId="165" fontId="12" fillId="11" borderId="81" xfId="0" applyNumberFormat="1" applyFont="1" applyFill="1" applyBorder="1" applyAlignment="1" applyProtection="1">
      <alignment horizontal="right"/>
      <protection hidden="1"/>
    </xf>
    <xf numFmtId="164" fontId="12" fillId="0" borderId="36" xfId="0" applyNumberFormat="1" applyFont="1" applyBorder="1" applyProtection="1">
      <protection hidden="1"/>
    </xf>
    <xf numFmtId="43" fontId="12" fillId="0" borderId="58" xfId="0" applyNumberFormat="1" applyFont="1" applyBorder="1" applyAlignment="1" applyProtection="1">
      <alignment horizontal="right" vertical="center"/>
      <protection hidden="1"/>
    </xf>
    <xf numFmtId="9" fontId="12" fillId="0" borderId="40" xfId="0" applyNumberFormat="1" applyFont="1" applyBorder="1" applyAlignment="1">
      <alignment horizontal="center"/>
    </xf>
    <xf numFmtId="165" fontId="12" fillId="0" borderId="40" xfId="0" applyNumberFormat="1" applyFont="1" applyBorder="1" applyAlignment="1">
      <alignment horizontal="right"/>
    </xf>
    <xf numFmtId="43" fontId="12" fillId="0" borderId="87" xfId="0" applyNumberFormat="1" applyFont="1" applyBorder="1" applyAlignment="1" applyProtection="1">
      <alignment horizontal="right" vertical="center"/>
      <protection hidden="1"/>
    </xf>
    <xf numFmtId="4" fontId="12" fillId="11" borderId="32" xfId="0" applyNumberFormat="1" applyFont="1" applyFill="1" applyBorder="1" applyAlignment="1" applyProtection="1">
      <alignment horizontal="right"/>
      <protection hidden="1"/>
    </xf>
    <xf numFmtId="9" fontId="12" fillId="0" borderId="81" xfId="0" applyNumberFormat="1" applyFont="1" applyBorder="1" applyAlignment="1">
      <alignment horizontal="center"/>
    </xf>
    <xf numFmtId="165" fontId="12" fillId="0" borderId="81" xfId="0" applyNumberFormat="1" applyFont="1" applyBorder="1" applyAlignment="1">
      <alignment horizontal="right"/>
    </xf>
    <xf numFmtId="169" fontId="12" fillId="0" borderId="61" xfId="0" applyNumberFormat="1" applyFont="1" applyBorder="1"/>
    <xf numFmtId="0" fontId="12" fillId="0" borderId="61" xfId="0" applyFont="1" applyBorder="1"/>
    <xf numFmtId="169" fontId="12" fillId="0" borderId="32" xfId="0" applyNumberFormat="1" applyFont="1" applyBorder="1"/>
    <xf numFmtId="0" fontId="12" fillId="0" borderId="32" xfId="0" applyFont="1" applyBorder="1"/>
    <xf numFmtId="165" fontId="12" fillId="10" borderId="76" xfId="0" applyNumberFormat="1" applyFont="1" applyFill="1" applyBorder="1" applyAlignment="1" applyProtection="1">
      <alignment horizontal="right"/>
      <protection hidden="1"/>
    </xf>
    <xf numFmtId="169" fontId="12" fillId="0" borderId="81" xfId="0" applyNumberFormat="1" applyFont="1" applyBorder="1" applyProtection="1">
      <protection hidden="1"/>
    </xf>
    <xf numFmtId="165" fontId="12" fillId="0" borderId="93" xfId="0" applyNumberFormat="1" applyFont="1" applyBorder="1" applyAlignment="1">
      <alignment horizontal="right"/>
    </xf>
    <xf numFmtId="170" fontId="12" fillId="0" borderId="83" xfId="0" applyNumberFormat="1" applyFont="1" applyBorder="1" applyAlignment="1" applyProtection="1">
      <alignment horizontal="right"/>
      <protection hidden="1"/>
    </xf>
    <xf numFmtId="170" fontId="12" fillId="0" borderId="32" xfId="0" applyNumberFormat="1" applyFont="1" applyBorder="1" applyAlignment="1" applyProtection="1">
      <alignment horizontal="right"/>
      <protection hidden="1"/>
    </xf>
    <xf numFmtId="165" fontId="12" fillId="12" borderId="61" xfId="0" applyNumberFormat="1" applyFont="1" applyFill="1" applyBorder="1" applyProtection="1">
      <protection hidden="1"/>
    </xf>
    <xf numFmtId="165" fontId="12" fillId="12" borderId="81" xfId="0" applyNumberFormat="1" applyFont="1" applyFill="1" applyBorder="1" applyProtection="1">
      <protection hidden="1"/>
    </xf>
    <xf numFmtId="165" fontId="12" fillId="12" borderId="86" xfId="0" applyNumberFormat="1" applyFont="1" applyFill="1" applyBorder="1" applyAlignment="1">
      <alignment horizontal="right"/>
    </xf>
    <xf numFmtId="165" fontId="12" fillId="0" borderId="89" xfId="0" applyNumberFormat="1" applyFont="1" applyBorder="1" applyAlignment="1">
      <alignment horizontal="right"/>
    </xf>
    <xf numFmtId="165" fontId="12" fillId="11" borderId="89" xfId="0" applyNumberFormat="1" applyFont="1" applyFill="1" applyBorder="1" applyAlignment="1" applyProtection="1">
      <alignment horizontal="right"/>
      <protection hidden="1"/>
    </xf>
    <xf numFmtId="9" fontId="12" fillId="12" borderId="40" xfId="0" applyNumberFormat="1" applyFont="1" applyFill="1" applyBorder="1" applyAlignment="1" applyProtection="1">
      <alignment horizontal="center"/>
      <protection hidden="1"/>
    </xf>
    <xf numFmtId="169" fontId="12" fillId="12" borderId="65" xfId="0" applyNumberFormat="1" applyFont="1" applyFill="1" applyBorder="1" applyProtection="1">
      <protection hidden="1"/>
    </xf>
    <xf numFmtId="169" fontId="12" fillId="12" borderId="32" xfId="0" applyNumberFormat="1" applyFont="1" applyFill="1" applyBorder="1" applyProtection="1">
      <protection hidden="1"/>
    </xf>
    <xf numFmtId="167" fontId="12" fillId="12" borderId="65" xfId="0" applyNumberFormat="1" applyFont="1" applyFill="1" applyBorder="1" applyAlignment="1">
      <alignment horizontal="right"/>
    </xf>
    <xf numFmtId="169" fontId="12" fillId="12" borderId="86" xfId="0" applyNumberFormat="1" applyFont="1" applyFill="1" applyBorder="1" applyProtection="1">
      <protection hidden="1"/>
    </xf>
    <xf numFmtId="165" fontId="12" fillId="10" borderId="71" xfId="0" applyNumberFormat="1" applyFont="1" applyFill="1" applyBorder="1" applyAlignment="1" applyProtection="1">
      <alignment horizontal="right"/>
      <protection hidden="1"/>
    </xf>
    <xf numFmtId="165" fontId="12" fillId="0" borderId="89" xfId="0" applyNumberFormat="1" applyFont="1" applyBorder="1" applyAlignment="1" applyProtection="1">
      <alignment horizontal="right"/>
      <protection hidden="1"/>
    </xf>
    <xf numFmtId="0" fontId="12" fillId="12" borderId="71" xfId="0" applyFont="1" applyFill="1" applyBorder="1" applyProtection="1">
      <protection hidden="1"/>
    </xf>
    <xf numFmtId="0" fontId="12" fillId="12" borderId="81" xfId="0" applyFont="1" applyFill="1" applyBorder="1" applyProtection="1">
      <protection hidden="1"/>
    </xf>
    <xf numFmtId="0" fontId="12" fillId="12" borderId="32" xfId="0" applyFont="1" applyFill="1" applyBorder="1" applyProtection="1">
      <protection hidden="1"/>
    </xf>
    <xf numFmtId="0" fontId="12" fillId="0" borderId="99" xfId="0" applyFont="1" applyBorder="1" applyAlignment="1" applyProtection="1">
      <alignment horizontal="left" vertical="top"/>
      <protection hidden="1"/>
    </xf>
    <xf numFmtId="165" fontId="12" fillId="12" borderId="61" xfId="0" applyNumberFormat="1" applyFont="1" applyFill="1" applyBorder="1"/>
    <xf numFmtId="165" fontId="12" fillId="12" borderId="40" xfId="0" applyNumberFormat="1" applyFont="1" applyFill="1" applyBorder="1" applyAlignment="1">
      <alignment horizontal="right"/>
    </xf>
    <xf numFmtId="9" fontId="12" fillId="0" borderId="89" xfId="0" applyNumberFormat="1" applyFont="1" applyBorder="1" applyAlignment="1">
      <alignment horizontal="center"/>
    </xf>
    <xf numFmtId="43" fontId="12" fillId="0" borderId="56" xfId="0" applyNumberFormat="1" applyFont="1" applyBorder="1" applyAlignment="1" applyProtection="1">
      <alignment horizontal="right" vertical="center"/>
      <protection hidden="1"/>
    </xf>
    <xf numFmtId="4" fontId="12" fillId="11" borderId="6" xfId="0" applyNumberFormat="1" applyFont="1" applyFill="1" applyBorder="1" applyAlignment="1" applyProtection="1">
      <alignment horizontal="right"/>
      <protection hidden="1"/>
    </xf>
    <xf numFmtId="0" fontId="12" fillId="0" borderId="82" xfId="0" applyFont="1" applyBorder="1" applyAlignment="1">
      <alignment horizontal="left" vertical="top"/>
    </xf>
    <xf numFmtId="0" fontId="12" fillId="0" borderId="83" xfId="0" applyFont="1" applyBorder="1" applyAlignment="1">
      <alignment horizontal="center"/>
    </xf>
    <xf numFmtId="169" fontId="12" fillId="0" borderId="85" xfId="0" applyNumberFormat="1" applyFont="1" applyBorder="1"/>
    <xf numFmtId="0" fontId="12" fillId="0" borderId="84" xfId="0" applyFont="1" applyBorder="1"/>
    <xf numFmtId="165" fontId="12" fillId="10" borderId="97" xfId="0" applyNumberFormat="1" applyFont="1" applyFill="1" applyBorder="1" applyAlignment="1" applyProtection="1">
      <alignment horizontal="right"/>
      <protection hidden="1"/>
    </xf>
    <xf numFmtId="169" fontId="12" fillId="0" borderId="6" xfId="0" applyNumberFormat="1" applyFont="1" applyBorder="1" applyProtection="1">
      <protection hidden="1"/>
    </xf>
    <xf numFmtId="165" fontId="12" fillId="10" borderId="83" xfId="0" applyNumberFormat="1" applyFont="1" applyFill="1" applyBorder="1" applyAlignment="1" applyProtection="1">
      <alignment horizontal="right"/>
      <protection hidden="1"/>
    </xf>
    <xf numFmtId="169" fontId="12" fillId="0" borderId="7" xfId="0" applyNumberFormat="1" applyFont="1" applyBorder="1" applyProtection="1">
      <protection hidden="1"/>
    </xf>
    <xf numFmtId="169" fontId="12" fillId="0" borderId="93" xfId="0" applyNumberFormat="1" applyFont="1" applyBorder="1" applyProtection="1">
      <protection hidden="1"/>
    </xf>
    <xf numFmtId="4" fontId="12" fillId="0" borderId="32" xfId="0" applyNumberFormat="1" applyFont="1" applyBorder="1" applyAlignment="1" applyProtection="1">
      <alignment horizontal="right"/>
      <protection hidden="1"/>
    </xf>
    <xf numFmtId="9" fontId="3" fillId="0" borderId="32" xfId="0" applyNumberFormat="1" applyFont="1" applyBorder="1" applyAlignment="1">
      <alignment horizontal="center"/>
    </xf>
    <xf numFmtId="3" fontId="3" fillId="0" borderId="31" xfId="0" applyNumberFormat="1" applyFont="1" applyBorder="1"/>
    <xf numFmtId="171" fontId="12" fillId="0" borderId="6" xfId="0" applyNumberFormat="1" applyFont="1" applyBorder="1" applyAlignment="1" applyProtection="1">
      <alignment horizontal="right"/>
      <protection hidden="1"/>
    </xf>
    <xf numFmtId="167" fontId="12" fillId="0" borderId="71" xfId="0" applyNumberFormat="1" applyFont="1" applyBorder="1" applyProtection="1">
      <protection hidden="1"/>
    </xf>
    <xf numFmtId="165" fontId="12" fillId="0" borderId="100" xfId="0" applyNumberFormat="1" applyFont="1" applyBorder="1" applyAlignment="1">
      <alignment horizontal="right"/>
    </xf>
    <xf numFmtId="43" fontId="12" fillId="0" borderId="63" xfId="0" applyNumberFormat="1" applyFont="1" applyBorder="1" applyAlignment="1" applyProtection="1">
      <alignment horizontal="right" vertical="center"/>
      <protection hidden="1"/>
    </xf>
    <xf numFmtId="169" fontId="12" fillId="0" borderId="6" xfId="0" applyNumberFormat="1" applyFont="1" applyBorder="1"/>
    <xf numFmtId="165" fontId="12" fillId="10" borderId="101" xfId="0" applyNumberFormat="1" applyFont="1" applyFill="1" applyBorder="1" applyAlignment="1">
      <alignment horizontal="right"/>
    </xf>
    <xf numFmtId="2" fontId="12" fillId="0" borderId="40" xfId="0" applyNumberFormat="1" applyFont="1" applyBorder="1" applyAlignment="1">
      <alignment horizontal="right"/>
    </xf>
    <xf numFmtId="0" fontId="12" fillId="0" borderId="102" xfId="0" applyFont="1" applyBorder="1" applyAlignment="1" applyProtection="1">
      <alignment horizontal="left" vertical="top"/>
      <protection hidden="1"/>
    </xf>
    <xf numFmtId="4" fontId="12" fillId="11" borderId="103" xfId="0" applyNumberFormat="1" applyFont="1" applyFill="1" applyBorder="1" applyAlignment="1" applyProtection="1">
      <alignment horizontal="right"/>
      <protection hidden="1"/>
    </xf>
    <xf numFmtId="0" fontId="12" fillId="0" borderId="104" xfId="0" applyFont="1" applyBorder="1" applyAlignment="1" applyProtection="1">
      <alignment horizontal="left" vertical="top"/>
      <protection hidden="1"/>
    </xf>
    <xf numFmtId="172" fontId="12" fillId="0" borderId="36" xfId="0" applyNumberFormat="1" applyFont="1" applyBorder="1"/>
    <xf numFmtId="165" fontId="12" fillId="10" borderId="81" xfId="0" applyNumberFormat="1" applyFont="1" applyFill="1" applyBorder="1" applyAlignment="1">
      <alignment horizontal="right"/>
    </xf>
    <xf numFmtId="169" fontId="12" fillId="0" borderId="36" xfId="0" applyNumberFormat="1" applyFont="1" applyBorder="1"/>
    <xf numFmtId="169" fontId="12" fillId="10" borderId="36" xfId="0" applyNumberFormat="1" applyFont="1" applyFill="1" applyBorder="1"/>
    <xf numFmtId="9" fontId="12" fillId="0" borderId="36" xfId="0" applyNumberFormat="1" applyFont="1" applyBorder="1" applyAlignment="1">
      <alignment horizontal="right"/>
    </xf>
    <xf numFmtId="0" fontId="13" fillId="0" borderId="59" xfId="0" applyFont="1" applyBorder="1" applyAlignment="1">
      <alignment horizontal="left"/>
    </xf>
    <xf numFmtId="165" fontId="12" fillId="0" borderId="0" xfId="0" applyNumberFormat="1" applyFont="1" applyAlignment="1">
      <alignment horizontal="center"/>
    </xf>
    <xf numFmtId="165" fontId="12" fillId="0" borderId="56" xfId="0" applyNumberFormat="1" applyFont="1" applyBorder="1" applyAlignment="1">
      <alignment horizontal="center"/>
    </xf>
    <xf numFmtId="0" fontId="12" fillId="0" borderId="70" xfId="0" applyFont="1" applyBorder="1" applyAlignment="1">
      <alignment horizontal="left"/>
    </xf>
    <xf numFmtId="165" fontId="12" fillId="0" borderId="87" xfId="0" applyNumberFormat="1" applyFont="1" applyBorder="1" applyAlignment="1">
      <alignment horizontal="center"/>
    </xf>
    <xf numFmtId="165" fontId="13" fillId="9" borderId="79" xfId="0" applyNumberFormat="1" applyFont="1" applyFill="1" applyBorder="1" applyAlignment="1" applyProtection="1">
      <alignment horizontal="right"/>
      <protection hidden="1"/>
    </xf>
    <xf numFmtId="165" fontId="12" fillId="10" borderId="32" xfId="0" applyNumberFormat="1" applyFont="1" applyFill="1" applyBorder="1" applyAlignment="1">
      <alignment horizontal="right"/>
    </xf>
    <xf numFmtId="165" fontId="12" fillId="0" borderId="40" xfId="0" applyNumberFormat="1" applyFont="1" applyBorder="1" applyProtection="1">
      <protection hidden="1"/>
    </xf>
    <xf numFmtId="165" fontId="12" fillId="10" borderId="89" xfId="0" applyNumberFormat="1" applyFont="1" applyFill="1" applyBorder="1" applyAlignment="1">
      <alignment horizontal="right"/>
    </xf>
    <xf numFmtId="172" fontId="12" fillId="0" borderId="71" xfId="0" applyNumberFormat="1" applyFont="1" applyBorder="1" applyProtection="1">
      <protection hidden="1"/>
    </xf>
    <xf numFmtId="172" fontId="12" fillId="0" borderId="61" xfId="0" applyNumberFormat="1" applyFont="1" applyBorder="1" applyProtection="1">
      <protection hidden="1"/>
    </xf>
    <xf numFmtId="9" fontId="12" fillId="0" borderId="99" xfId="0" applyNumberFormat="1" applyFont="1" applyBorder="1" applyAlignment="1" applyProtection="1">
      <alignment horizontal="left" vertical="top"/>
      <protection hidden="1"/>
    </xf>
    <xf numFmtId="173" fontId="12" fillId="0" borderId="40" xfId="0" applyNumberFormat="1" applyFont="1" applyBorder="1" applyAlignment="1" applyProtection="1">
      <alignment horizontal="right"/>
      <protection hidden="1"/>
    </xf>
    <xf numFmtId="9" fontId="12" fillId="0" borderId="70" xfId="0" applyNumberFormat="1" applyFont="1" applyBorder="1" applyAlignment="1" applyProtection="1">
      <alignment horizontal="left" vertical="top"/>
      <protection hidden="1"/>
    </xf>
    <xf numFmtId="173" fontId="12" fillId="0" borderId="71" xfId="0" applyNumberFormat="1" applyFont="1" applyBorder="1" applyAlignment="1" applyProtection="1">
      <alignment horizontal="right"/>
      <protection hidden="1"/>
    </xf>
    <xf numFmtId="165" fontId="12" fillId="10" borderId="71" xfId="0" applyNumberFormat="1" applyFont="1" applyFill="1" applyBorder="1" applyAlignment="1">
      <alignment horizontal="right"/>
    </xf>
    <xf numFmtId="4" fontId="12" fillId="0" borderId="36" xfId="0" applyNumberFormat="1" applyFont="1" applyBorder="1" applyAlignment="1" applyProtection="1">
      <alignment horizontal="right"/>
      <protection hidden="1"/>
    </xf>
    <xf numFmtId="4" fontId="12" fillId="0" borderId="36" xfId="0" applyNumberFormat="1" applyFont="1" applyBorder="1" applyProtection="1">
      <protection hidden="1"/>
    </xf>
    <xf numFmtId="167" fontId="12" fillId="0" borderId="36" xfId="0" applyNumberFormat="1" applyFont="1" applyBorder="1" applyAlignment="1" applyProtection="1">
      <alignment horizontal="right"/>
      <protection hidden="1"/>
    </xf>
    <xf numFmtId="171" fontId="12" fillId="0" borderId="32" xfId="0" applyNumberFormat="1" applyFont="1" applyBorder="1" applyProtection="1">
      <protection hidden="1"/>
    </xf>
    <xf numFmtId="169" fontId="12" fillId="0" borderId="65" xfId="0" applyNumberFormat="1" applyFont="1" applyBorder="1"/>
    <xf numFmtId="0" fontId="12" fillId="0" borderId="96" xfId="0" applyFont="1" applyBorder="1" applyAlignment="1">
      <alignment horizontal="left" vertical="top"/>
    </xf>
    <xf numFmtId="165" fontId="12" fillId="0" borderId="72" xfId="0" applyNumberFormat="1" applyFont="1" applyBorder="1" applyAlignment="1">
      <alignment horizontal="right" vertical="center"/>
    </xf>
    <xf numFmtId="0" fontId="12" fillId="0" borderId="102" xfId="0" applyFont="1" applyBorder="1" applyAlignment="1">
      <alignment horizontal="left" vertical="top"/>
    </xf>
    <xf numFmtId="0" fontId="12" fillId="0" borderId="105" xfId="0" applyFont="1" applyBorder="1" applyAlignment="1">
      <alignment horizontal="center"/>
    </xf>
    <xf numFmtId="172" fontId="12" fillId="0" borderId="85" xfId="0" applyNumberFormat="1" applyFont="1" applyBorder="1" applyProtection="1">
      <protection hidden="1"/>
    </xf>
    <xf numFmtId="0" fontId="12" fillId="0" borderId="106" xfId="0" applyFont="1" applyBorder="1"/>
    <xf numFmtId="165" fontId="12" fillId="10" borderId="105" xfId="0" applyNumberFormat="1" applyFont="1" applyFill="1" applyBorder="1" applyAlignment="1" applyProtection="1">
      <alignment horizontal="right"/>
      <protection hidden="1"/>
    </xf>
    <xf numFmtId="0" fontId="12" fillId="0" borderId="97" xfId="0" applyFont="1" applyBorder="1" applyAlignment="1">
      <alignment horizontal="center"/>
    </xf>
    <xf numFmtId="0" fontId="12" fillId="0" borderId="107" xfId="0" applyFont="1" applyBorder="1"/>
    <xf numFmtId="164" fontId="12" fillId="10" borderId="71" xfId="0" applyNumberFormat="1" applyFont="1" applyFill="1" applyBorder="1" applyAlignment="1" applyProtection="1">
      <alignment horizontal="right"/>
      <protection hidden="1"/>
    </xf>
    <xf numFmtId="0" fontId="12" fillId="0" borderId="81" xfId="0" applyFont="1" applyBorder="1" applyAlignment="1">
      <alignment horizontal="center"/>
    </xf>
    <xf numFmtId="172" fontId="12" fillId="0" borderId="81" xfId="0" applyNumberFormat="1" applyFont="1" applyBorder="1" applyProtection="1">
      <protection hidden="1"/>
    </xf>
    <xf numFmtId="173" fontId="12" fillId="0" borderId="36" xfId="0" applyNumberFormat="1" applyFont="1" applyBorder="1" applyAlignment="1" applyProtection="1">
      <alignment horizontal="right"/>
      <protection hidden="1"/>
    </xf>
    <xf numFmtId="173" fontId="12" fillId="0" borderId="81" xfId="0" applyNumberFormat="1" applyFont="1" applyBorder="1" applyAlignment="1" applyProtection="1">
      <alignment horizontal="right"/>
      <protection hidden="1"/>
    </xf>
    <xf numFmtId="9" fontId="3" fillId="0" borderId="89" xfId="0" applyNumberFormat="1" applyFont="1" applyBorder="1" applyAlignment="1">
      <alignment horizontal="center"/>
    </xf>
    <xf numFmtId="9" fontId="3" fillId="0" borderId="36" xfId="0" applyNumberFormat="1" applyFont="1" applyBorder="1" applyAlignment="1">
      <alignment horizontal="center"/>
    </xf>
    <xf numFmtId="0" fontId="3" fillId="0" borderId="52" xfId="0" applyFont="1" applyBorder="1" applyAlignment="1" applyProtection="1">
      <alignment horizontal="center"/>
      <protection hidden="1"/>
    </xf>
    <xf numFmtId="165" fontId="13" fillId="0" borderId="55" xfId="0" applyNumberFormat="1" applyFont="1" applyBorder="1" applyAlignment="1" applyProtection="1">
      <alignment horizontal="right" vertical="center"/>
      <protection hidden="1"/>
    </xf>
    <xf numFmtId="165" fontId="13" fillId="0" borderId="56" xfId="0" applyNumberFormat="1" applyFont="1" applyBorder="1" applyAlignment="1" applyProtection="1">
      <alignment horizontal="right" vertical="center"/>
      <protection hidden="1"/>
    </xf>
    <xf numFmtId="0" fontId="12" fillId="0" borderId="59" xfId="0" applyFont="1" applyBorder="1" applyAlignment="1" applyProtection="1">
      <alignment horizontal="left" vertical="top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165" fontId="12" fillId="0" borderId="0" xfId="0" applyNumberFormat="1" applyFont="1" applyAlignment="1" applyProtection="1">
      <alignment horizontal="right"/>
      <protection hidden="1"/>
    </xf>
    <xf numFmtId="0" fontId="13" fillId="0" borderId="59" xfId="0" applyFont="1" applyBorder="1" applyAlignment="1" applyProtection="1">
      <alignment horizontal="left" vertical="top"/>
      <protection hidden="1"/>
    </xf>
    <xf numFmtId="11" fontId="12" fillId="0" borderId="36" xfId="0" applyNumberFormat="1" applyFont="1" applyBorder="1" applyProtection="1">
      <protection hidden="1"/>
    </xf>
    <xf numFmtId="43" fontId="13" fillId="0" borderId="68" xfId="0" applyNumberFormat="1" applyFont="1" applyBorder="1" applyAlignment="1" applyProtection="1">
      <alignment horizontal="right" vertical="center"/>
      <protection hidden="1"/>
    </xf>
    <xf numFmtId="0" fontId="13" fillId="0" borderId="59" xfId="0" applyFont="1" applyBorder="1" applyAlignment="1" applyProtection="1">
      <alignment horizontal="left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43" fontId="12" fillId="0" borderId="56" xfId="0" applyNumberFormat="1" applyFont="1" applyBorder="1" applyAlignment="1" applyProtection="1">
      <alignment horizontal="center"/>
      <protection hidden="1"/>
    </xf>
    <xf numFmtId="4" fontId="12" fillId="10" borderId="108" xfId="0" applyNumberFormat="1" applyFont="1" applyFill="1" applyBorder="1" applyAlignment="1" applyProtection="1">
      <alignment horizontal="right"/>
      <protection hidden="1"/>
    </xf>
    <xf numFmtId="3" fontId="3" fillId="0" borderId="39" xfId="0" applyNumberFormat="1" applyFont="1" applyBorder="1"/>
    <xf numFmtId="165" fontId="12" fillId="0" borderId="108" xfId="0" applyNumberFormat="1" applyFont="1" applyBorder="1" applyAlignment="1" applyProtection="1">
      <alignment horizontal="right"/>
      <protection hidden="1"/>
    </xf>
    <xf numFmtId="4" fontId="12" fillId="10" borderId="89" xfId="0" applyNumberFormat="1" applyFont="1" applyFill="1" applyBorder="1" applyAlignment="1" applyProtection="1">
      <alignment horizontal="right"/>
      <protection hidden="1"/>
    </xf>
    <xf numFmtId="3" fontId="3" fillId="0" borderId="0" xfId="0" applyNumberFormat="1" applyFont="1"/>
    <xf numFmtId="165" fontId="12" fillId="0" borderId="103" xfId="0" applyNumberFormat="1" applyFont="1" applyBorder="1" applyAlignment="1" applyProtection="1">
      <alignment horizontal="right"/>
      <protection hidden="1"/>
    </xf>
    <xf numFmtId="4" fontId="12" fillId="10" borderId="32" xfId="0" applyNumberFormat="1" applyFont="1" applyFill="1" applyBorder="1" applyAlignment="1" applyProtection="1">
      <alignment horizontal="right"/>
      <protection hidden="1"/>
    </xf>
    <xf numFmtId="165" fontId="12" fillId="0" borderId="6" xfId="0" applyNumberFormat="1" applyFont="1" applyBorder="1" applyAlignment="1" applyProtection="1">
      <alignment horizontal="right"/>
      <protection hidden="1"/>
    </xf>
    <xf numFmtId="43" fontId="12" fillId="0" borderId="36" xfId="0" applyNumberFormat="1" applyFont="1" applyBorder="1" applyProtection="1">
      <protection hidden="1"/>
    </xf>
    <xf numFmtId="174" fontId="12" fillId="0" borderId="36" xfId="0" applyNumberFormat="1" applyFont="1" applyBorder="1" applyProtection="1">
      <protection hidden="1"/>
    </xf>
    <xf numFmtId="0" fontId="12" fillId="0" borderId="109" xfId="0" applyFont="1" applyBorder="1" applyAlignment="1" applyProtection="1">
      <alignment horizontal="center"/>
      <protection hidden="1"/>
    </xf>
    <xf numFmtId="175" fontId="12" fillId="0" borderId="110" xfId="0" applyNumberFormat="1" applyFont="1" applyBorder="1" applyProtection="1">
      <protection hidden="1"/>
    </xf>
    <xf numFmtId="0" fontId="12" fillId="0" borderId="110" xfId="0" applyFont="1" applyBorder="1" applyProtection="1">
      <protection hidden="1"/>
    </xf>
    <xf numFmtId="170" fontId="12" fillId="0" borderId="110" xfId="0" applyNumberFormat="1" applyFont="1" applyBorder="1" applyAlignment="1" applyProtection="1">
      <alignment horizontal="right"/>
      <protection hidden="1"/>
    </xf>
    <xf numFmtId="43" fontId="12" fillId="0" borderId="68" xfId="0" applyNumberFormat="1" applyFont="1" applyBorder="1" applyAlignment="1" applyProtection="1">
      <alignment horizontal="right" vertical="center"/>
      <protection hidden="1"/>
    </xf>
    <xf numFmtId="4" fontId="12" fillId="0" borderId="77" xfId="0" applyNumberFormat="1" applyFont="1" applyBorder="1" applyAlignment="1" applyProtection="1">
      <alignment horizontal="left" vertical="top"/>
      <protection hidden="1"/>
    </xf>
    <xf numFmtId="0" fontId="12" fillId="0" borderId="78" xfId="0" applyFont="1" applyBorder="1" applyAlignment="1" applyProtection="1">
      <alignment horizontal="center"/>
      <protection hidden="1"/>
    </xf>
    <xf numFmtId="0" fontId="12" fillId="0" borderId="79" xfId="0" applyFont="1" applyBorder="1" applyProtection="1">
      <protection hidden="1"/>
    </xf>
    <xf numFmtId="0" fontId="13" fillId="0" borderId="79" xfId="0" applyFont="1" applyBorder="1" applyAlignment="1" applyProtection="1">
      <alignment horizontal="right"/>
      <protection hidden="1"/>
    </xf>
    <xf numFmtId="43" fontId="12" fillId="0" borderId="79" xfId="0" applyNumberFormat="1" applyFont="1" applyBorder="1" applyAlignment="1" applyProtection="1">
      <alignment horizontal="right"/>
      <protection hidden="1"/>
    </xf>
    <xf numFmtId="165" fontId="13" fillId="0" borderId="80" xfId="0" applyNumberFormat="1" applyFont="1" applyBorder="1" applyAlignment="1" applyProtection="1">
      <alignment horizontal="right"/>
      <protection hidden="1"/>
    </xf>
    <xf numFmtId="2" fontId="12" fillId="0" borderId="6" xfId="0" applyNumberFormat="1" applyFont="1" applyBorder="1" applyAlignment="1" applyProtection="1">
      <alignment horizontal="right"/>
      <protection hidden="1"/>
    </xf>
    <xf numFmtId="4" fontId="12" fillId="10" borderId="7" xfId="0" applyNumberFormat="1" applyFont="1" applyFill="1" applyBorder="1" applyAlignment="1" applyProtection="1">
      <alignment horizontal="right"/>
      <protection hidden="1"/>
    </xf>
    <xf numFmtId="2" fontId="12" fillId="0" borderId="7" xfId="0" applyNumberFormat="1" applyFont="1" applyBorder="1" applyAlignment="1" applyProtection="1">
      <alignment horizontal="right"/>
      <protection hidden="1"/>
    </xf>
    <xf numFmtId="2" fontId="12" fillId="0" borderId="110" xfId="0" applyNumberFormat="1" applyFont="1" applyBorder="1" applyProtection="1">
      <protection hidden="1"/>
    </xf>
    <xf numFmtId="4" fontId="12" fillId="10" borderId="6" xfId="0" applyNumberFormat="1" applyFont="1" applyFill="1" applyBorder="1" applyAlignment="1" applyProtection="1">
      <alignment horizontal="right"/>
      <protection hidden="1"/>
    </xf>
    <xf numFmtId="167" fontId="12" fillId="0" borderId="108" xfId="0" applyNumberFormat="1" applyFont="1" applyBorder="1" applyAlignment="1" applyProtection="1">
      <alignment horizontal="right"/>
      <protection hidden="1"/>
    </xf>
    <xf numFmtId="176" fontId="12" fillId="0" borderId="108" xfId="0" applyNumberFormat="1" applyFont="1" applyBorder="1" applyAlignment="1" applyProtection="1">
      <alignment horizontal="right"/>
      <protection hidden="1"/>
    </xf>
    <xf numFmtId="176" fontId="12" fillId="0" borderId="6" xfId="0" applyNumberFormat="1" applyFont="1" applyBorder="1" applyAlignment="1" applyProtection="1">
      <alignment horizontal="right"/>
      <protection hidden="1"/>
    </xf>
    <xf numFmtId="0" fontId="12" fillId="0" borderId="96" xfId="0" applyFont="1" applyBorder="1" applyAlignment="1" applyProtection="1">
      <alignment horizontal="left"/>
      <protection hidden="1"/>
    </xf>
    <xf numFmtId="167" fontId="12" fillId="0" borderId="40" xfId="0" applyNumberFormat="1" applyFont="1" applyBorder="1" applyAlignment="1" applyProtection="1">
      <alignment horizontal="right"/>
      <protection hidden="1"/>
    </xf>
    <xf numFmtId="43" fontId="12" fillId="0" borderId="87" xfId="0" applyNumberFormat="1" applyFont="1" applyBorder="1" applyAlignment="1" applyProtection="1">
      <alignment horizontal="center"/>
      <protection hidden="1"/>
    </xf>
    <xf numFmtId="0" fontId="12" fillId="0" borderId="60" xfId="0" applyFont="1" applyBorder="1" applyAlignment="1" applyProtection="1">
      <alignment horizontal="left"/>
      <protection hidden="1"/>
    </xf>
    <xf numFmtId="4" fontId="12" fillId="10" borderId="36" xfId="0" applyNumberFormat="1" applyFont="1" applyFill="1" applyBorder="1" applyAlignment="1" applyProtection="1">
      <alignment horizontal="right"/>
      <protection hidden="1"/>
    </xf>
    <xf numFmtId="43" fontId="12" fillId="0" borderId="62" xfId="0" applyNumberFormat="1" applyFont="1" applyBorder="1" applyAlignment="1" applyProtection="1">
      <alignment horizontal="center"/>
      <protection hidden="1"/>
    </xf>
    <xf numFmtId="3" fontId="3" fillId="0" borderId="35" xfId="0" applyNumberFormat="1" applyFont="1" applyBorder="1"/>
    <xf numFmtId="171" fontId="12" fillId="0" borderId="7" xfId="0" applyNumberFormat="1" applyFont="1" applyBorder="1" applyAlignment="1" applyProtection="1">
      <alignment horizontal="right"/>
      <protection hidden="1"/>
    </xf>
    <xf numFmtId="43" fontId="12" fillId="0" borderId="62" xfId="0" applyNumberFormat="1" applyFont="1" applyBorder="1" applyAlignment="1" applyProtection="1">
      <alignment horizontal="right" vertical="center"/>
      <protection hidden="1"/>
    </xf>
    <xf numFmtId="176" fontId="12" fillId="0" borderId="7" xfId="0" applyNumberFormat="1" applyFont="1" applyBorder="1" applyAlignment="1" applyProtection="1">
      <alignment horizontal="right"/>
      <protection hidden="1"/>
    </xf>
    <xf numFmtId="0" fontId="12" fillId="0" borderId="110" xfId="0" applyFont="1" applyBorder="1" applyAlignment="1" applyProtection="1">
      <alignment horizontal="center"/>
      <protection hidden="1"/>
    </xf>
    <xf numFmtId="171" fontId="12" fillId="0" borderId="36" xfId="0" applyNumberFormat="1" applyFont="1" applyBorder="1"/>
    <xf numFmtId="165" fontId="12" fillId="0" borderId="36" xfId="0" applyNumberFormat="1" applyFont="1" applyBorder="1" applyAlignment="1">
      <alignment horizontal="right"/>
    </xf>
    <xf numFmtId="0" fontId="12" fillId="0" borderId="69" xfId="0" applyFont="1" applyBorder="1" applyAlignment="1">
      <alignment horizontal="left"/>
    </xf>
    <xf numFmtId="4" fontId="12" fillId="0" borderId="40" xfId="0" applyNumberFormat="1" applyFont="1" applyBorder="1" applyAlignment="1" applyProtection="1">
      <alignment horizontal="right"/>
      <protection hidden="1"/>
    </xf>
    <xf numFmtId="3" fontId="12" fillId="0" borderId="40" xfId="0" applyNumberFormat="1" applyFont="1" applyBorder="1" applyProtection="1">
      <protection hidden="1"/>
    </xf>
    <xf numFmtId="164" fontId="12" fillId="0" borderId="40" xfId="0" applyNumberFormat="1" applyFont="1" applyBorder="1" applyAlignment="1" applyProtection="1">
      <alignment horizontal="right"/>
      <protection hidden="1"/>
    </xf>
    <xf numFmtId="0" fontId="12" fillId="0" borderId="57" xfId="0" applyFont="1" applyBorder="1" applyAlignment="1">
      <alignment horizontal="left"/>
    </xf>
    <xf numFmtId="164" fontId="12" fillId="0" borderId="6" xfId="0" applyNumberFormat="1" applyFont="1" applyBorder="1" applyAlignment="1" applyProtection="1">
      <alignment horizontal="right"/>
      <protection hidden="1"/>
    </xf>
    <xf numFmtId="164" fontId="12" fillId="0" borderId="7" xfId="0" applyNumberFormat="1" applyFont="1" applyBorder="1" applyAlignment="1" applyProtection="1">
      <alignment horizontal="right"/>
      <protection hidden="1"/>
    </xf>
    <xf numFmtId="164" fontId="12" fillId="0" borderId="36" xfId="0" applyNumberFormat="1" applyFont="1" applyBorder="1"/>
    <xf numFmtId="177" fontId="12" fillId="0" borderId="62" xfId="0" applyNumberFormat="1" applyFont="1" applyBorder="1" applyAlignment="1" applyProtection="1">
      <alignment horizontal="center"/>
      <protection hidden="1"/>
    </xf>
    <xf numFmtId="167" fontId="12" fillId="0" borderId="7" xfId="0" applyNumberFormat="1" applyFont="1" applyBorder="1" applyAlignment="1" applyProtection="1">
      <alignment horizontal="right"/>
      <protection hidden="1"/>
    </xf>
    <xf numFmtId="177" fontId="12" fillId="0" borderId="62" xfId="0" applyNumberFormat="1" applyFont="1" applyBorder="1" applyAlignment="1" applyProtection="1">
      <alignment horizontal="right" vertical="center"/>
      <protection hidden="1"/>
    </xf>
    <xf numFmtId="177" fontId="13" fillId="0" borderId="68" xfId="0" applyNumberFormat="1" applyFont="1" applyBorder="1" applyAlignment="1" applyProtection="1">
      <alignment horizontal="right" vertical="center"/>
      <protection hidden="1"/>
    </xf>
    <xf numFmtId="2" fontId="12" fillId="0" borderId="71" xfId="0" applyNumberFormat="1" applyFont="1" applyBorder="1" applyProtection="1">
      <protection hidden="1"/>
    </xf>
    <xf numFmtId="178" fontId="12" fillId="0" borderId="36" xfId="0" applyNumberFormat="1" applyFont="1" applyBorder="1" applyAlignment="1" applyProtection="1">
      <alignment horizontal="left" indent="2"/>
      <protection hidden="1"/>
    </xf>
    <xf numFmtId="179" fontId="12" fillId="0" borderId="36" xfId="0" applyNumberFormat="1" applyFont="1" applyBorder="1" applyProtection="1">
      <protection hidden="1"/>
    </xf>
    <xf numFmtId="180" fontId="12" fillId="0" borderId="36" xfId="0" applyNumberFormat="1" applyFont="1" applyBorder="1" applyAlignment="1">
      <alignment horizontal="center"/>
    </xf>
    <xf numFmtId="172" fontId="12" fillId="0" borderId="36" xfId="0" applyNumberFormat="1" applyFont="1" applyBorder="1" applyAlignment="1">
      <alignment horizontal="center"/>
    </xf>
    <xf numFmtId="165" fontId="12" fillId="0" borderId="58" xfId="0" applyNumberFormat="1" applyFont="1" applyBorder="1" applyAlignment="1">
      <alignment horizontal="center"/>
    </xf>
    <xf numFmtId="181" fontId="12" fillId="0" borderId="87" xfId="0" applyNumberFormat="1" applyFont="1" applyBorder="1" applyAlignment="1" applyProtection="1">
      <alignment horizontal="right" vertical="center"/>
      <protection hidden="1"/>
    </xf>
    <xf numFmtId="172" fontId="12" fillId="0" borderId="7" xfId="0" applyNumberFormat="1" applyFont="1" applyBorder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164" fontId="12" fillId="0" borderId="36" xfId="0" applyNumberFormat="1" applyFont="1" applyBorder="1" applyAlignment="1">
      <alignment horizontal="right"/>
    </xf>
    <xf numFmtId="174" fontId="12" fillId="0" borderId="36" xfId="0" applyNumberFormat="1" applyFont="1" applyBorder="1" applyAlignment="1">
      <alignment horizontal="center"/>
    </xf>
    <xf numFmtId="174" fontId="12" fillId="0" borderId="7" xfId="0" applyNumberFormat="1" applyFont="1" applyBorder="1" applyAlignment="1">
      <alignment horizontal="center"/>
    </xf>
    <xf numFmtId="165" fontId="12" fillId="10" borderId="0" xfId="0" applyNumberFormat="1" applyFont="1" applyFill="1" applyAlignment="1">
      <alignment horizontal="right"/>
    </xf>
    <xf numFmtId="9" fontId="12" fillId="0" borderId="0" xfId="0" applyNumberFormat="1" applyFont="1" applyAlignment="1">
      <alignment horizontal="center"/>
    </xf>
    <xf numFmtId="43" fontId="12" fillId="0" borderId="111" xfId="0" applyNumberFormat="1" applyFont="1" applyBorder="1" applyAlignment="1" applyProtection="1">
      <alignment horizontal="right" vertical="center"/>
      <protection hidden="1"/>
    </xf>
    <xf numFmtId="0" fontId="12" fillId="0" borderId="112" xfId="0" applyFont="1" applyBorder="1" applyAlignment="1" applyProtection="1">
      <alignment horizontal="left" vertical="top"/>
      <protection hidden="1"/>
    </xf>
    <xf numFmtId="0" fontId="12" fillId="0" borderId="79" xfId="0" applyFont="1" applyBorder="1" applyAlignment="1" applyProtection="1">
      <alignment horizontal="center"/>
      <protection hidden="1"/>
    </xf>
    <xf numFmtId="165" fontId="12" fillId="0" borderId="79" xfId="0" applyNumberFormat="1" applyFont="1" applyBorder="1" applyAlignment="1" applyProtection="1">
      <alignment horizontal="right"/>
      <protection hidden="1"/>
    </xf>
    <xf numFmtId="171" fontId="12" fillId="0" borderId="36" xfId="0" applyNumberFormat="1" applyFont="1" applyBorder="1" applyProtection="1">
      <protection hidden="1"/>
    </xf>
    <xf numFmtId="165" fontId="12" fillId="0" borderId="67" xfId="0" applyNumberFormat="1" applyFont="1" applyBorder="1" applyAlignment="1">
      <alignment horizontal="center"/>
    </xf>
    <xf numFmtId="182" fontId="12" fillId="0" borderId="36" xfId="0" applyNumberFormat="1" applyFont="1" applyBorder="1"/>
    <xf numFmtId="0" fontId="3" fillId="0" borderId="0" xfId="0" applyFont="1" applyProtection="1">
      <protection locked="0"/>
    </xf>
    <xf numFmtId="164" fontId="12" fillId="0" borderId="31" xfId="0" applyNumberFormat="1" applyFont="1" applyBorder="1" applyAlignment="1">
      <alignment horizontal="center"/>
    </xf>
    <xf numFmtId="0" fontId="14" fillId="0" borderId="0" xfId="0" applyFont="1"/>
    <xf numFmtId="4" fontId="4" fillId="0" borderId="0" xfId="0" applyNumberFormat="1" applyFont="1"/>
    <xf numFmtId="164" fontId="12" fillId="13" borderId="6" xfId="0" applyNumberFormat="1" applyFont="1" applyFill="1" applyBorder="1" applyAlignment="1">
      <alignment horizontal="center"/>
    </xf>
    <xf numFmtId="164" fontId="15" fillId="13" borderId="36" xfId="0" applyNumberFormat="1" applyFont="1" applyFill="1" applyBorder="1" applyAlignment="1">
      <alignment horizontal="center" vertical="center" wrapText="1"/>
    </xf>
    <xf numFmtId="164" fontId="15" fillId="13" borderId="35" xfId="0" applyNumberFormat="1" applyFont="1" applyFill="1" applyBorder="1" applyAlignment="1">
      <alignment horizontal="center" vertical="center" wrapText="1"/>
    </xf>
    <xf numFmtId="164" fontId="16" fillId="13" borderId="36" xfId="0" applyNumberFormat="1" applyFont="1" applyFill="1" applyBorder="1" applyAlignment="1">
      <alignment horizontal="center" vertical="center" wrapText="1"/>
    </xf>
    <xf numFmtId="4" fontId="15" fillId="13" borderId="36" xfId="0" applyNumberFormat="1" applyFont="1" applyFill="1" applyBorder="1" applyAlignment="1">
      <alignment horizontal="center" vertical="center" wrapText="1"/>
    </xf>
    <xf numFmtId="164" fontId="15" fillId="13" borderId="3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center"/>
    </xf>
    <xf numFmtId="0" fontId="3" fillId="0" borderId="32" xfId="0" applyFont="1" applyBorder="1"/>
    <xf numFmtId="0" fontId="3" fillId="0" borderId="31" xfId="0" applyFont="1" applyBorder="1" applyAlignment="1">
      <alignment horizontal="center"/>
    </xf>
    <xf numFmtId="0" fontId="17" fillId="0" borderId="31" xfId="0" applyFont="1" applyBorder="1"/>
    <xf numFmtId="4" fontId="3" fillId="0" borderId="32" xfId="0" applyNumberFormat="1" applyFont="1" applyBorder="1"/>
    <xf numFmtId="10" fontId="3" fillId="0" borderId="32" xfId="0" applyNumberFormat="1" applyFont="1" applyBorder="1" applyProtection="1">
      <protection locked="0"/>
    </xf>
    <xf numFmtId="3" fontId="3" fillId="0" borderId="32" xfId="0" applyNumberFormat="1" applyFont="1" applyBorder="1" applyProtection="1">
      <protection locked="0"/>
    </xf>
    <xf numFmtId="0" fontId="3" fillId="0" borderId="7" xfId="0" applyFont="1" applyBorder="1" applyAlignment="1">
      <alignment horizontal="center"/>
    </xf>
    <xf numFmtId="0" fontId="3" fillId="0" borderId="36" xfId="0" applyFont="1" applyBorder="1"/>
    <xf numFmtId="4" fontId="3" fillId="0" borderId="36" xfId="0" applyNumberFormat="1" applyFont="1" applyBorder="1"/>
    <xf numFmtId="10" fontId="3" fillId="0" borderId="36" xfId="0" applyNumberFormat="1" applyFont="1" applyBorder="1" applyProtection="1">
      <protection locked="0"/>
    </xf>
    <xf numFmtId="3" fontId="3" fillId="0" borderId="36" xfId="0" applyNumberFormat="1" applyFont="1" applyBorder="1" applyProtection="1">
      <protection locked="0"/>
    </xf>
    <xf numFmtId="0" fontId="18" fillId="14" borderId="35" xfId="0" applyFont="1" applyFill="1" applyBorder="1"/>
    <xf numFmtId="0" fontId="3" fillId="15" borderId="7" xfId="0" applyFont="1" applyFill="1" applyBorder="1" applyAlignment="1">
      <alignment horizontal="center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5" xfId="0" applyFont="1" applyFill="1" applyBorder="1" applyAlignment="1" applyProtection="1">
      <alignment horizontal="center" vertical="center"/>
      <protection hidden="1"/>
    </xf>
    <xf numFmtId="0" fontId="12" fillId="0" borderId="47" xfId="0" applyFont="1" applyBorder="1" applyAlignment="1" applyProtection="1">
      <alignment horizontal="center" vertical="center" wrapText="1"/>
      <protection hidden="1"/>
    </xf>
    <xf numFmtId="0" fontId="12" fillId="0" borderId="48" xfId="0" applyFont="1" applyBorder="1" applyAlignment="1" applyProtection="1">
      <alignment horizontal="center" vertical="center" wrapText="1"/>
      <protection hidden="1"/>
    </xf>
    <xf numFmtId="0" fontId="12" fillId="0" borderId="49" xfId="0" applyFont="1" applyBorder="1" applyAlignment="1" applyProtection="1">
      <alignment horizontal="center" vertical="center" wrapText="1"/>
      <protection hidden="1"/>
    </xf>
    <xf numFmtId="0" fontId="12" fillId="0" borderId="44" xfId="0" applyFont="1" applyBorder="1" applyAlignment="1" applyProtection="1">
      <alignment horizontal="center" vertical="center" wrapText="1"/>
      <protection hidden="1"/>
    </xf>
    <xf numFmtId="0" fontId="12" fillId="0" borderId="45" xfId="0" applyFont="1" applyBorder="1" applyAlignment="1" applyProtection="1">
      <alignment horizontal="center" vertical="center" wrapText="1"/>
      <protection hidden="1"/>
    </xf>
    <xf numFmtId="0" fontId="12" fillId="0" borderId="50" xfId="0" applyFont="1" applyBorder="1" applyAlignment="1" applyProtection="1">
      <alignment horizontal="center" vertical="center" wrapText="1"/>
      <protection hidden="1"/>
    </xf>
    <xf numFmtId="0" fontId="13" fillId="9" borderId="51" xfId="0" applyFont="1" applyFill="1" applyBorder="1" applyAlignment="1" applyProtection="1">
      <alignment horizontal="left" vertical="top" wrapText="1"/>
      <protection hidden="1"/>
    </xf>
    <xf numFmtId="0" fontId="13" fillId="9" borderId="52" xfId="0" applyFont="1" applyFill="1" applyBorder="1" applyAlignment="1" applyProtection="1">
      <alignment horizontal="left" vertical="top" wrapText="1"/>
      <protection hidden="1"/>
    </xf>
    <xf numFmtId="0" fontId="13" fillId="9" borderId="53" xfId="0" applyFont="1" applyFill="1" applyBorder="1" applyAlignment="1" applyProtection="1">
      <alignment horizontal="left" vertical="top" wrapText="1"/>
      <protection hidden="1"/>
    </xf>
    <xf numFmtId="0" fontId="13" fillId="9" borderId="54" xfId="0" applyFont="1" applyFill="1" applyBorder="1" applyAlignment="1" applyProtection="1">
      <alignment horizontal="left" vertical="top" wrapText="1"/>
      <protection hidden="1"/>
    </xf>
    <xf numFmtId="0" fontId="13" fillId="0" borderId="51" xfId="0" applyFont="1" applyBorder="1" applyAlignment="1" applyProtection="1">
      <alignment horizontal="left" vertical="top" wrapText="1"/>
      <protection hidden="1"/>
    </xf>
    <xf numFmtId="0" fontId="13" fillId="0" borderId="52" xfId="0" applyFont="1" applyBorder="1" applyAlignment="1" applyProtection="1">
      <alignment horizontal="left" vertical="top" wrapText="1"/>
      <protection hidden="1"/>
    </xf>
    <xf numFmtId="0" fontId="13" fillId="0" borderId="53" xfId="0" applyFont="1" applyBorder="1" applyAlignment="1" applyProtection="1">
      <alignment horizontal="left" vertical="top" wrapText="1"/>
      <protection hidden="1"/>
    </xf>
    <xf numFmtId="0" fontId="13" fillId="0" borderId="54" xfId="0" applyFont="1" applyBorder="1" applyAlignment="1" applyProtection="1">
      <alignment horizontal="left" vertical="top" wrapText="1"/>
      <protection hidden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44">
    <dxf>
      <font>
        <b val="0"/>
        <i/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2"/>
      </font>
      <fill>
        <patternFill>
          <bgColor indexed="13"/>
        </patternFill>
      </fill>
    </dxf>
    <dxf>
      <font>
        <b/>
        <i val="0"/>
        <condense val="0"/>
        <extend val="0"/>
        <color indexed="12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AFE4-4CB9-D942-927D-214C751B14EA}">
  <dimension ref="B3:G552"/>
  <sheetViews>
    <sheetView workbookViewId="0">
      <selection activeCell="C554" sqref="C554"/>
    </sheetView>
  </sheetViews>
  <sheetFormatPr baseColWidth="10" defaultRowHeight="16" x14ac:dyDescent="0.2"/>
  <cols>
    <col min="2" max="2" width="9" customWidth="1"/>
    <col min="3" max="3" width="58" customWidth="1"/>
    <col min="4" max="4" width="6.1640625" customWidth="1"/>
    <col min="5" max="5" width="12.6640625" customWidth="1"/>
    <col min="6" max="6" width="14.5" customWidth="1"/>
    <col min="7" max="7" width="18.5" customWidth="1"/>
  </cols>
  <sheetData>
    <row r="3" spans="2:7" x14ac:dyDescent="0.2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3" t="s">
        <v>5</v>
      </c>
    </row>
    <row r="4" spans="2:7" ht="17" thickBot="1" x14ac:dyDescent="0.25">
      <c r="B4" s="4"/>
      <c r="C4" s="5"/>
      <c r="D4" s="6"/>
      <c r="E4" s="7"/>
      <c r="F4" s="8"/>
      <c r="G4" s="9"/>
    </row>
    <row r="5" spans="2:7" x14ac:dyDescent="0.2">
      <c r="B5" s="10">
        <v>1</v>
      </c>
      <c r="C5" s="11" t="s">
        <v>6</v>
      </c>
      <c r="D5" s="12"/>
      <c r="E5" s="12"/>
      <c r="F5" s="13"/>
      <c r="G5" s="14">
        <v>871995</v>
      </c>
    </row>
    <row r="6" spans="2:7" x14ac:dyDescent="0.2">
      <c r="B6" s="15">
        <v>1.1000000000000001</v>
      </c>
      <c r="C6" s="16" t="s">
        <v>7</v>
      </c>
      <c r="D6" s="17" t="s">
        <v>8</v>
      </c>
      <c r="E6" s="18">
        <v>2.85</v>
      </c>
      <c r="F6" s="19">
        <v>79712</v>
      </c>
      <c r="G6" s="20">
        <v>227179</v>
      </c>
    </row>
    <row r="7" spans="2:7" x14ac:dyDescent="0.2">
      <c r="B7" s="15">
        <v>1.2</v>
      </c>
      <c r="C7" s="16" t="s">
        <v>9</v>
      </c>
      <c r="D7" s="17" t="s">
        <v>8</v>
      </c>
      <c r="E7" s="18">
        <v>2.85</v>
      </c>
      <c r="F7" s="19">
        <v>68229</v>
      </c>
      <c r="G7" s="20">
        <v>194453</v>
      </c>
    </row>
    <row r="8" spans="2:7" x14ac:dyDescent="0.2">
      <c r="B8" s="15">
        <v>1.3</v>
      </c>
      <c r="C8" s="16" t="s">
        <v>10</v>
      </c>
      <c r="D8" s="17" t="s">
        <v>8</v>
      </c>
      <c r="E8" s="18">
        <v>2.85</v>
      </c>
      <c r="F8" s="19">
        <v>57840</v>
      </c>
      <c r="G8" s="20">
        <v>164844</v>
      </c>
    </row>
    <row r="9" spans="2:7" x14ac:dyDescent="0.2">
      <c r="B9" s="15">
        <v>1.4</v>
      </c>
      <c r="C9" s="16" t="s">
        <v>11</v>
      </c>
      <c r="D9" s="17" t="s">
        <v>8</v>
      </c>
      <c r="E9" s="18">
        <v>2.85</v>
      </c>
      <c r="F9" s="19">
        <v>39961</v>
      </c>
      <c r="G9" s="20">
        <v>113889</v>
      </c>
    </row>
    <row r="10" spans="2:7" x14ac:dyDescent="0.2">
      <c r="B10" s="15">
        <v>1.5</v>
      </c>
      <c r="C10" s="16" t="s">
        <v>12</v>
      </c>
      <c r="D10" s="17" t="s">
        <v>8</v>
      </c>
      <c r="E10" s="18">
        <v>2.85</v>
      </c>
      <c r="F10" s="19">
        <v>25853</v>
      </c>
      <c r="G10" s="20">
        <v>73681</v>
      </c>
    </row>
    <row r="11" spans="2:7" x14ac:dyDescent="0.2">
      <c r="B11" s="15">
        <v>1.6</v>
      </c>
      <c r="C11" s="16" t="s">
        <v>13</v>
      </c>
      <c r="D11" s="17" t="s">
        <v>8</v>
      </c>
      <c r="E11" s="18">
        <v>2.85</v>
      </c>
      <c r="F11" s="19">
        <v>20281</v>
      </c>
      <c r="G11" s="20">
        <v>57801</v>
      </c>
    </row>
    <row r="12" spans="2:7" x14ac:dyDescent="0.2">
      <c r="B12" s="15">
        <v>1.7</v>
      </c>
      <c r="C12" s="16" t="s">
        <v>14</v>
      </c>
      <c r="D12" s="17" t="s">
        <v>8</v>
      </c>
      <c r="E12" s="18">
        <v>2.85</v>
      </c>
      <c r="F12" s="19">
        <v>14087</v>
      </c>
      <c r="G12" s="20">
        <v>40148</v>
      </c>
    </row>
    <row r="13" spans="2:7" x14ac:dyDescent="0.2">
      <c r="B13" s="21"/>
      <c r="C13" s="22"/>
      <c r="D13" s="23"/>
      <c r="E13" s="24"/>
      <c r="F13" s="25"/>
      <c r="G13" s="26"/>
    </row>
    <row r="14" spans="2:7" ht="17" thickBot="1" x14ac:dyDescent="0.25">
      <c r="B14" s="27"/>
      <c r="C14" s="28"/>
      <c r="D14" s="29"/>
      <c r="E14" s="30"/>
      <c r="F14" s="31" t="s">
        <v>15</v>
      </c>
      <c r="G14" s="32">
        <v>871995</v>
      </c>
    </row>
    <row r="15" spans="2:7" ht="17" thickBot="1" x14ac:dyDescent="0.25">
      <c r="B15" s="4"/>
      <c r="C15" s="33"/>
      <c r="D15" s="34"/>
      <c r="E15" s="35"/>
      <c r="F15" s="4"/>
      <c r="G15" s="36"/>
    </row>
    <row r="16" spans="2:7" x14ac:dyDescent="0.2">
      <c r="B16" s="10">
        <v>2</v>
      </c>
      <c r="C16" s="37" t="s">
        <v>16</v>
      </c>
      <c r="D16" s="38"/>
      <c r="E16" s="38"/>
      <c r="F16" s="39"/>
      <c r="G16" s="40">
        <v>674675</v>
      </c>
    </row>
    <row r="17" spans="2:7" x14ac:dyDescent="0.2">
      <c r="B17" s="15">
        <v>2.1</v>
      </c>
      <c r="C17" s="41" t="s">
        <v>17</v>
      </c>
      <c r="D17" s="42" t="s">
        <v>8</v>
      </c>
      <c r="E17" s="43">
        <v>2.85</v>
      </c>
      <c r="F17" s="44">
        <v>61469</v>
      </c>
      <c r="G17" s="45">
        <v>175187</v>
      </c>
    </row>
    <row r="18" spans="2:7" x14ac:dyDescent="0.2">
      <c r="B18" s="15">
        <v>2.2000000000000002</v>
      </c>
      <c r="C18" s="41" t="s">
        <v>18</v>
      </c>
      <c r="D18" s="42" t="s">
        <v>8</v>
      </c>
      <c r="E18" s="43">
        <v>2.85</v>
      </c>
      <c r="F18" s="44">
        <v>53126</v>
      </c>
      <c r="G18" s="45">
        <v>151409</v>
      </c>
    </row>
    <row r="19" spans="2:7" x14ac:dyDescent="0.2">
      <c r="B19" s="15">
        <v>2.2999999999999998</v>
      </c>
      <c r="C19" s="41" t="s">
        <v>19</v>
      </c>
      <c r="D19" s="42" t="s">
        <v>8</v>
      </c>
      <c r="E19" s="43">
        <v>2.85</v>
      </c>
      <c r="F19" s="44">
        <v>45578</v>
      </c>
      <c r="G19" s="45">
        <v>129897</v>
      </c>
    </row>
    <row r="20" spans="2:7" x14ac:dyDescent="0.2">
      <c r="B20" s="15">
        <v>2.4</v>
      </c>
      <c r="C20" s="41" t="s">
        <v>20</v>
      </c>
      <c r="D20" s="42" t="s">
        <v>8</v>
      </c>
      <c r="E20" s="43">
        <v>2.85</v>
      </c>
      <c r="F20" s="44">
        <v>30690</v>
      </c>
      <c r="G20" s="45">
        <v>87467</v>
      </c>
    </row>
    <row r="21" spans="2:7" x14ac:dyDescent="0.2">
      <c r="B21" s="15">
        <v>2.5</v>
      </c>
      <c r="C21" s="41" t="s">
        <v>21</v>
      </c>
      <c r="D21" s="42" t="s">
        <v>8</v>
      </c>
      <c r="E21" s="43">
        <v>2.85</v>
      </c>
      <c r="F21" s="44">
        <v>19572</v>
      </c>
      <c r="G21" s="45">
        <v>55780</v>
      </c>
    </row>
    <row r="22" spans="2:7" x14ac:dyDescent="0.2">
      <c r="B22" s="15">
        <v>2.6</v>
      </c>
      <c r="C22" s="41" t="s">
        <v>22</v>
      </c>
      <c r="D22" s="42" t="s">
        <v>8</v>
      </c>
      <c r="E22" s="43">
        <v>2.85</v>
      </c>
      <c r="F22" s="44">
        <v>15496</v>
      </c>
      <c r="G22" s="45">
        <v>44164</v>
      </c>
    </row>
    <row r="23" spans="2:7" x14ac:dyDescent="0.2">
      <c r="B23" s="15">
        <v>2.7</v>
      </c>
      <c r="C23" s="41" t="s">
        <v>23</v>
      </c>
      <c r="D23" s="42" t="s">
        <v>8</v>
      </c>
      <c r="E23" s="43">
        <v>2.85</v>
      </c>
      <c r="F23" s="44">
        <v>10797</v>
      </c>
      <c r="G23" s="45">
        <v>30771</v>
      </c>
    </row>
    <row r="24" spans="2:7" x14ac:dyDescent="0.2">
      <c r="B24" s="21"/>
      <c r="C24" s="46"/>
      <c r="D24" s="47"/>
      <c r="E24" s="48"/>
      <c r="F24" s="49"/>
      <c r="G24" s="50"/>
    </row>
    <row r="25" spans="2:7" ht="17" thickBot="1" x14ac:dyDescent="0.25">
      <c r="B25" s="27"/>
      <c r="C25" s="51"/>
      <c r="D25" s="52"/>
      <c r="E25" s="53"/>
      <c r="F25" s="54" t="s">
        <v>24</v>
      </c>
      <c r="G25" s="55">
        <v>674675</v>
      </c>
    </row>
    <row r="26" spans="2:7" ht="17" thickBot="1" x14ac:dyDescent="0.25">
      <c r="B26" s="4"/>
      <c r="C26" s="5"/>
      <c r="D26" s="6"/>
      <c r="E26" s="7"/>
      <c r="F26" s="56"/>
      <c r="G26" s="57"/>
    </row>
    <row r="27" spans="2:7" x14ac:dyDescent="0.2">
      <c r="B27" s="10">
        <v>3</v>
      </c>
      <c r="C27" s="37" t="s">
        <v>25</v>
      </c>
      <c r="D27" s="12"/>
      <c r="E27" s="12"/>
      <c r="F27" s="13"/>
      <c r="G27" s="14">
        <v>459351</v>
      </c>
    </row>
    <row r="28" spans="2:7" x14ac:dyDescent="0.2">
      <c r="B28" s="15">
        <v>3.1</v>
      </c>
      <c r="C28" s="58" t="s">
        <v>19</v>
      </c>
      <c r="D28" s="59" t="s">
        <v>8</v>
      </c>
      <c r="E28" s="60">
        <v>2.85</v>
      </c>
      <c r="F28" s="61">
        <v>71767</v>
      </c>
      <c r="G28" s="62">
        <v>204536</v>
      </c>
    </row>
    <row r="29" spans="2:7" x14ac:dyDescent="0.2">
      <c r="B29" s="15">
        <v>3.2</v>
      </c>
      <c r="C29" s="41" t="s">
        <v>26</v>
      </c>
      <c r="D29" s="42" t="s">
        <v>8</v>
      </c>
      <c r="E29" s="43">
        <v>2.85</v>
      </c>
      <c r="F29" s="44">
        <v>35441</v>
      </c>
      <c r="G29" s="45">
        <v>101007</v>
      </c>
    </row>
    <row r="30" spans="2:7" x14ac:dyDescent="0.2">
      <c r="B30" s="15">
        <v>3.3</v>
      </c>
      <c r="C30" s="58" t="s">
        <v>21</v>
      </c>
      <c r="D30" s="59" t="s">
        <v>8</v>
      </c>
      <c r="E30" s="60">
        <v>2.85</v>
      </c>
      <c r="F30" s="61">
        <v>23117</v>
      </c>
      <c r="G30" s="62">
        <v>65883</v>
      </c>
    </row>
    <row r="31" spans="2:7" x14ac:dyDescent="0.2">
      <c r="B31" s="15">
        <v>3.4</v>
      </c>
      <c r="C31" s="41" t="s">
        <v>27</v>
      </c>
      <c r="D31" s="42" t="s">
        <v>8</v>
      </c>
      <c r="E31" s="43">
        <v>2.85</v>
      </c>
      <c r="F31" s="44">
        <v>18197</v>
      </c>
      <c r="G31" s="45">
        <v>51861</v>
      </c>
    </row>
    <row r="32" spans="2:7" x14ac:dyDescent="0.2">
      <c r="B32" s="15">
        <v>3.5</v>
      </c>
      <c r="C32" s="41" t="s">
        <v>28</v>
      </c>
      <c r="D32" s="42" t="s">
        <v>8</v>
      </c>
      <c r="E32" s="43">
        <v>2.85</v>
      </c>
      <c r="F32" s="44">
        <v>12654</v>
      </c>
      <c r="G32" s="45">
        <v>36064</v>
      </c>
    </row>
    <row r="33" spans="2:7" x14ac:dyDescent="0.2">
      <c r="B33" s="21"/>
      <c r="C33" s="22"/>
      <c r="D33" s="23"/>
      <c r="E33" s="24"/>
      <c r="F33" s="25"/>
      <c r="G33" s="26"/>
    </row>
    <row r="34" spans="2:7" ht="17" thickBot="1" x14ac:dyDescent="0.25">
      <c r="B34" s="27"/>
      <c r="C34" s="28"/>
      <c r="D34" s="29"/>
      <c r="E34" s="30"/>
      <c r="F34" s="31" t="s">
        <v>29</v>
      </c>
      <c r="G34" s="32">
        <v>459351</v>
      </c>
    </row>
    <row r="35" spans="2:7" ht="17" thickBot="1" x14ac:dyDescent="0.25">
      <c r="B35" s="4"/>
      <c r="C35" s="33"/>
      <c r="D35" s="34"/>
      <c r="E35" s="35"/>
      <c r="F35" s="4"/>
      <c r="G35" s="36"/>
    </row>
    <row r="36" spans="2:7" x14ac:dyDescent="0.2">
      <c r="B36" s="10">
        <v>4</v>
      </c>
      <c r="C36" s="11" t="s">
        <v>30</v>
      </c>
      <c r="D36" s="12"/>
      <c r="E36" s="12"/>
      <c r="F36" s="13"/>
      <c r="G36" s="14">
        <v>403629</v>
      </c>
    </row>
    <row r="37" spans="2:7" x14ac:dyDescent="0.2">
      <c r="B37" s="15">
        <v>4.0999999999999996</v>
      </c>
      <c r="C37" s="58" t="s">
        <v>31</v>
      </c>
      <c r="D37" s="59" t="s">
        <v>8</v>
      </c>
      <c r="E37" s="60">
        <v>2.85</v>
      </c>
      <c r="F37" s="61">
        <v>60015</v>
      </c>
      <c r="G37" s="62">
        <v>171043</v>
      </c>
    </row>
    <row r="38" spans="2:7" x14ac:dyDescent="0.2">
      <c r="B38" s="15">
        <v>4.2</v>
      </c>
      <c r="C38" s="41" t="s">
        <v>32</v>
      </c>
      <c r="D38" s="42" t="s">
        <v>8</v>
      </c>
      <c r="E38" s="43">
        <v>2.85</v>
      </c>
      <c r="F38" s="44">
        <v>29565</v>
      </c>
      <c r="G38" s="45">
        <v>84260</v>
      </c>
    </row>
    <row r="39" spans="2:7" x14ac:dyDescent="0.2">
      <c r="B39" s="15">
        <v>4.3</v>
      </c>
      <c r="C39" s="58" t="s">
        <v>33</v>
      </c>
      <c r="D39" s="59" t="s">
        <v>8</v>
      </c>
      <c r="E39" s="60">
        <v>2.85</v>
      </c>
      <c r="F39" s="61">
        <v>26394</v>
      </c>
      <c r="G39" s="62">
        <v>75223</v>
      </c>
    </row>
    <row r="40" spans="2:7" x14ac:dyDescent="0.2">
      <c r="B40" s="15">
        <v>4.4000000000000004</v>
      </c>
      <c r="C40" s="41" t="s">
        <v>34</v>
      </c>
      <c r="D40" s="42" t="s">
        <v>8</v>
      </c>
      <c r="E40" s="43">
        <v>2.85</v>
      </c>
      <c r="F40" s="44">
        <v>15115</v>
      </c>
      <c r="G40" s="45">
        <v>43078</v>
      </c>
    </row>
    <row r="41" spans="2:7" x14ac:dyDescent="0.2">
      <c r="B41" s="15">
        <v>4.5</v>
      </c>
      <c r="C41" s="41" t="s">
        <v>35</v>
      </c>
      <c r="D41" s="42" t="s">
        <v>8</v>
      </c>
      <c r="E41" s="43">
        <v>2.85</v>
      </c>
      <c r="F41" s="44">
        <v>10535</v>
      </c>
      <c r="G41" s="45">
        <v>30025</v>
      </c>
    </row>
    <row r="42" spans="2:7" x14ac:dyDescent="0.2">
      <c r="B42" s="21"/>
      <c r="C42" s="22"/>
      <c r="D42" s="23"/>
      <c r="E42" s="24"/>
      <c r="F42" s="25"/>
      <c r="G42" s="26"/>
    </row>
    <row r="43" spans="2:7" ht="17" thickBot="1" x14ac:dyDescent="0.25">
      <c r="B43" s="27"/>
      <c r="C43" s="28"/>
      <c r="D43" s="29"/>
      <c r="E43" s="30"/>
      <c r="F43" s="31" t="s">
        <v>36</v>
      </c>
      <c r="G43" s="32">
        <v>403629</v>
      </c>
    </row>
    <row r="44" spans="2:7" ht="17" thickBot="1" x14ac:dyDescent="0.25">
      <c r="B44" s="4"/>
      <c r="C44" s="33"/>
      <c r="D44" s="34"/>
      <c r="E44" s="35"/>
      <c r="F44" s="4"/>
      <c r="G44" s="36"/>
    </row>
    <row r="45" spans="2:7" x14ac:dyDescent="0.2">
      <c r="B45" s="10">
        <v>5</v>
      </c>
      <c r="C45" s="37" t="s">
        <v>37</v>
      </c>
      <c r="D45" s="38"/>
      <c r="E45" s="38"/>
      <c r="F45" s="39"/>
      <c r="G45" s="40">
        <v>425878</v>
      </c>
    </row>
    <row r="46" spans="2:7" x14ac:dyDescent="0.2">
      <c r="B46" s="15">
        <v>5.0999999999999996</v>
      </c>
      <c r="C46" s="41" t="s">
        <v>38</v>
      </c>
      <c r="D46" s="42" t="s">
        <v>8</v>
      </c>
      <c r="E46" s="43">
        <v>2.85</v>
      </c>
      <c r="F46" s="44">
        <v>75607</v>
      </c>
      <c r="G46" s="45">
        <v>215480</v>
      </c>
    </row>
    <row r="47" spans="2:7" x14ac:dyDescent="0.2">
      <c r="B47" s="15">
        <v>5.2</v>
      </c>
      <c r="C47" s="41" t="s">
        <v>39</v>
      </c>
      <c r="D47" s="42" t="s">
        <v>8</v>
      </c>
      <c r="E47" s="43">
        <v>2.85</v>
      </c>
      <c r="F47" s="44">
        <v>64831</v>
      </c>
      <c r="G47" s="45">
        <v>184768</v>
      </c>
    </row>
    <row r="48" spans="2:7" x14ac:dyDescent="0.2">
      <c r="B48" s="15">
        <v>5.3</v>
      </c>
      <c r="C48" s="41" t="s">
        <v>40</v>
      </c>
      <c r="D48" s="42" t="s">
        <v>8</v>
      </c>
      <c r="E48" s="43">
        <v>2.85</v>
      </c>
      <c r="F48" s="44">
        <v>55080</v>
      </c>
      <c r="G48" s="45">
        <v>156978</v>
      </c>
    </row>
    <row r="49" spans="2:7" x14ac:dyDescent="0.2">
      <c r="B49" s="15">
        <v>5.4</v>
      </c>
      <c r="C49" s="41" t="s">
        <v>41</v>
      </c>
      <c r="D49" s="42" t="s">
        <v>8</v>
      </c>
      <c r="E49" s="43">
        <v>2.85</v>
      </c>
      <c r="F49" s="44">
        <v>37361</v>
      </c>
      <c r="G49" s="45">
        <v>106479</v>
      </c>
    </row>
    <row r="50" spans="2:7" x14ac:dyDescent="0.2">
      <c r="B50" s="15">
        <v>5.5</v>
      </c>
      <c r="C50" s="41" t="s">
        <v>42</v>
      </c>
      <c r="D50" s="42" t="s">
        <v>8</v>
      </c>
      <c r="E50" s="43">
        <v>2.85</v>
      </c>
      <c r="F50" s="44">
        <v>24440</v>
      </c>
      <c r="G50" s="45">
        <v>69654</v>
      </c>
    </row>
    <row r="51" spans="2:7" x14ac:dyDescent="0.2">
      <c r="B51" s="15">
        <v>5.6</v>
      </c>
      <c r="C51" s="41" t="s">
        <v>43</v>
      </c>
      <c r="D51" s="42" t="s">
        <v>8</v>
      </c>
      <c r="E51" s="43">
        <v>2.85</v>
      </c>
      <c r="F51" s="44">
        <v>19204</v>
      </c>
      <c r="G51" s="45">
        <v>54731</v>
      </c>
    </row>
    <row r="52" spans="2:7" x14ac:dyDescent="0.2">
      <c r="B52" s="15">
        <v>5.7</v>
      </c>
      <c r="C52" s="41" t="s">
        <v>44</v>
      </c>
      <c r="D52" s="42" t="s">
        <v>8</v>
      </c>
      <c r="E52" s="43">
        <v>2.85</v>
      </c>
      <c r="F52" s="44">
        <v>13346</v>
      </c>
      <c r="G52" s="45">
        <v>38036</v>
      </c>
    </row>
    <row r="53" spans="2:7" x14ac:dyDescent="0.2">
      <c r="B53" s="21"/>
      <c r="C53" s="46"/>
      <c r="D53" s="47"/>
      <c r="E53" s="48"/>
      <c r="F53" s="49"/>
      <c r="G53" s="50"/>
    </row>
    <row r="54" spans="2:7" ht="17" thickBot="1" x14ac:dyDescent="0.25">
      <c r="B54" s="27"/>
      <c r="C54" s="51"/>
      <c r="D54" s="52"/>
      <c r="E54" s="53"/>
      <c r="F54" s="54" t="s">
        <v>45</v>
      </c>
      <c r="G54" s="55">
        <v>425878</v>
      </c>
    </row>
    <row r="55" spans="2:7" ht="17" thickBot="1" x14ac:dyDescent="0.25">
      <c r="B55" s="4"/>
      <c r="C55" s="5"/>
      <c r="D55" s="6"/>
      <c r="E55" s="7"/>
      <c r="F55" s="56"/>
      <c r="G55" s="57"/>
    </row>
    <row r="56" spans="2:7" x14ac:dyDescent="0.2">
      <c r="B56" s="10">
        <v>6</v>
      </c>
      <c r="C56" s="37" t="s">
        <v>46</v>
      </c>
      <c r="D56" s="38"/>
      <c r="E56" s="38"/>
      <c r="F56" s="39"/>
      <c r="G56" s="40">
        <v>330295</v>
      </c>
    </row>
    <row r="57" spans="2:7" ht="17" x14ac:dyDescent="0.2">
      <c r="B57" s="63">
        <v>6.1</v>
      </c>
      <c r="C57" s="41" t="s">
        <v>47</v>
      </c>
      <c r="D57" s="64" t="s">
        <v>8</v>
      </c>
      <c r="E57" s="43">
        <v>2.85</v>
      </c>
      <c r="F57" s="19">
        <v>58486</v>
      </c>
      <c r="G57" s="50">
        <v>166685</v>
      </c>
    </row>
    <row r="58" spans="2:7" ht="17" x14ac:dyDescent="0.2">
      <c r="B58" s="15">
        <v>6.2</v>
      </c>
      <c r="C58" s="41" t="s">
        <v>48</v>
      </c>
      <c r="D58" s="64" t="s">
        <v>8</v>
      </c>
      <c r="E58" s="43">
        <v>2.85</v>
      </c>
      <c r="F58" s="19">
        <v>50657</v>
      </c>
      <c r="G58" s="50">
        <v>144372</v>
      </c>
    </row>
    <row r="59" spans="2:7" ht="17" x14ac:dyDescent="0.2">
      <c r="B59" s="15">
        <v>6.3</v>
      </c>
      <c r="C59" s="41" t="s">
        <v>49</v>
      </c>
      <c r="D59" s="64" t="s">
        <v>8</v>
      </c>
      <c r="E59" s="43">
        <v>2.85</v>
      </c>
      <c r="F59" s="19">
        <v>43573</v>
      </c>
      <c r="G59" s="50">
        <v>124183</v>
      </c>
    </row>
    <row r="60" spans="2:7" ht="17" x14ac:dyDescent="0.2">
      <c r="B60" s="15">
        <v>6.4</v>
      </c>
      <c r="C60" s="41" t="s">
        <v>50</v>
      </c>
      <c r="D60" s="64" t="s">
        <v>8</v>
      </c>
      <c r="E60" s="43">
        <v>2.85</v>
      </c>
      <c r="F60" s="19">
        <v>28801</v>
      </c>
      <c r="G60" s="50">
        <v>82083</v>
      </c>
    </row>
    <row r="61" spans="2:7" x14ac:dyDescent="0.2">
      <c r="B61" s="15">
        <v>6.5</v>
      </c>
      <c r="C61" s="41" t="s">
        <v>51</v>
      </c>
      <c r="D61" s="65" t="s">
        <v>8</v>
      </c>
      <c r="E61" s="66">
        <v>2.85</v>
      </c>
      <c r="F61" s="67">
        <v>18546</v>
      </c>
      <c r="G61" s="68">
        <v>52856</v>
      </c>
    </row>
    <row r="62" spans="2:7" ht="17" x14ac:dyDescent="0.2">
      <c r="B62" s="15">
        <v>6.6</v>
      </c>
      <c r="C62" s="41" t="s">
        <v>52</v>
      </c>
      <c r="D62" s="64" t="s">
        <v>8</v>
      </c>
      <c r="E62" s="43">
        <v>2.85</v>
      </c>
      <c r="F62" s="19">
        <v>14714</v>
      </c>
      <c r="G62" s="50">
        <v>41935</v>
      </c>
    </row>
    <row r="63" spans="2:7" ht="17" x14ac:dyDescent="0.2">
      <c r="B63" s="15">
        <v>6.7</v>
      </c>
      <c r="C63" s="41" t="s">
        <v>53</v>
      </c>
      <c r="D63" s="64" t="s">
        <v>8</v>
      </c>
      <c r="E63" s="43">
        <v>2.85</v>
      </c>
      <c r="F63" s="19">
        <v>10259</v>
      </c>
      <c r="G63" s="50">
        <v>29238</v>
      </c>
    </row>
    <row r="64" spans="2:7" x14ac:dyDescent="0.2">
      <c r="B64" s="21"/>
      <c r="C64" s="46"/>
      <c r="D64" s="47"/>
      <c r="E64" s="48"/>
      <c r="F64" s="49"/>
      <c r="G64" s="50"/>
    </row>
    <row r="65" spans="2:7" ht="17" thickBot="1" x14ac:dyDescent="0.25">
      <c r="B65" s="27"/>
      <c r="C65" s="51"/>
      <c r="D65" s="52"/>
      <c r="E65" s="53"/>
      <c r="F65" s="54" t="s">
        <v>54</v>
      </c>
      <c r="G65" s="55">
        <v>330295</v>
      </c>
    </row>
    <row r="66" spans="2:7" ht="17" thickBot="1" x14ac:dyDescent="0.25">
      <c r="B66" s="4"/>
      <c r="C66" s="5"/>
      <c r="D66" s="6"/>
      <c r="E66" s="7"/>
      <c r="F66" s="8"/>
      <c r="G66" s="9"/>
    </row>
    <row r="67" spans="2:7" x14ac:dyDescent="0.2">
      <c r="B67" s="10">
        <v>7</v>
      </c>
      <c r="C67" s="37" t="s">
        <v>55</v>
      </c>
      <c r="D67" s="38"/>
      <c r="E67" s="38"/>
      <c r="F67" s="39"/>
      <c r="G67" s="40">
        <v>435780</v>
      </c>
    </row>
    <row r="68" spans="2:7" x14ac:dyDescent="0.2">
      <c r="B68" s="15">
        <v>7.1</v>
      </c>
      <c r="C68" s="58" t="s">
        <v>49</v>
      </c>
      <c r="D68" s="59" t="s">
        <v>8</v>
      </c>
      <c r="E68" s="60">
        <v>2.85</v>
      </c>
      <c r="F68" s="61">
        <v>68150</v>
      </c>
      <c r="G68" s="62">
        <v>194228</v>
      </c>
    </row>
    <row r="69" spans="2:7" x14ac:dyDescent="0.2">
      <c r="B69" s="15">
        <v>7.2</v>
      </c>
      <c r="C69" s="41" t="s">
        <v>56</v>
      </c>
      <c r="D69" s="42" t="s">
        <v>8</v>
      </c>
      <c r="E69" s="43">
        <v>2.85</v>
      </c>
      <c r="F69" s="44">
        <v>33633</v>
      </c>
      <c r="G69" s="45">
        <v>95854</v>
      </c>
    </row>
    <row r="70" spans="2:7" x14ac:dyDescent="0.2">
      <c r="B70" s="15">
        <v>7.3</v>
      </c>
      <c r="C70" s="58" t="s">
        <v>57</v>
      </c>
      <c r="D70" s="59" t="s">
        <v>8</v>
      </c>
      <c r="E70" s="60">
        <v>2.85</v>
      </c>
      <c r="F70" s="61">
        <v>21872</v>
      </c>
      <c r="G70" s="62">
        <v>62335</v>
      </c>
    </row>
    <row r="71" spans="2:7" x14ac:dyDescent="0.2">
      <c r="B71" s="15">
        <v>7.4</v>
      </c>
      <c r="C71" s="41" t="s">
        <v>58</v>
      </c>
      <c r="D71" s="42" t="s">
        <v>8</v>
      </c>
      <c r="E71" s="43">
        <v>2.85</v>
      </c>
      <c r="F71" s="44">
        <v>17248</v>
      </c>
      <c r="G71" s="45">
        <v>49157</v>
      </c>
    </row>
    <row r="72" spans="2:7" x14ac:dyDescent="0.2">
      <c r="B72" s="15">
        <v>7.5</v>
      </c>
      <c r="C72" s="41" t="s">
        <v>59</v>
      </c>
      <c r="D72" s="42" t="s">
        <v>8</v>
      </c>
      <c r="E72" s="43">
        <v>2.85</v>
      </c>
      <c r="F72" s="44">
        <v>12002</v>
      </c>
      <c r="G72" s="45">
        <v>34206</v>
      </c>
    </row>
    <row r="73" spans="2:7" x14ac:dyDescent="0.2">
      <c r="B73" s="21"/>
      <c r="C73" s="46"/>
      <c r="D73" s="47"/>
      <c r="E73" s="48"/>
      <c r="F73" s="49"/>
      <c r="G73" s="50"/>
    </row>
    <row r="74" spans="2:7" ht="17" thickBot="1" x14ac:dyDescent="0.25">
      <c r="B74" s="27"/>
      <c r="C74" s="51"/>
      <c r="D74" s="52"/>
      <c r="E74" s="53"/>
      <c r="F74" s="54" t="s">
        <v>60</v>
      </c>
      <c r="G74" s="55">
        <v>435780</v>
      </c>
    </row>
    <row r="75" spans="2:7" ht="17" thickBot="1" x14ac:dyDescent="0.25">
      <c r="B75" s="4"/>
      <c r="C75" s="5"/>
      <c r="D75" s="6"/>
      <c r="E75" s="7"/>
      <c r="F75" s="56"/>
      <c r="G75" s="57"/>
    </row>
    <row r="76" spans="2:7" x14ac:dyDescent="0.2">
      <c r="B76" s="10">
        <v>8</v>
      </c>
      <c r="C76" s="37" t="s">
        <v>61</v>
      </c>
      <c r="D76" s="38"/>
      <c r="E76" s="38"/>
      <c r="F76" s="39"/>
      <c r="G76" s="40">
        <v>220690</v>
      </c>
    </row>
    <row r="77" spans="2:7" x14ac:dyDescent="0.2">
      <c r="B77" s="15">
        <v>8.1</v>
      </c>
      <c r="C77" s="58" t="s">
        <v>62</v>
      </c>
      <c r="D77" s="59" t="s">
        <v>8</v>
      </c>
      <c r="E77" s="60">
        <v>2.85</v>
      </c>
      <c r="F77" s="61">
        <v>57122</v>
      </c>
      <c r="G77" s="62">
        <v>162798</v>
      </c>
    </row>
    <row r="78" spans="2:7" x14ac:dyDescent="0.2">
      <c r="B78" s="15">
        <v>8.1999999999999993</v>
      </c>
      <c r="C78" s="41" t="s">
        <v>63</v>
      </c>
      <c r="D78" s="42" t="s">
        <v>8</v>
      </c>
      <c r="E78" s="43">
        <v>2.85</v>
      </c>
      <c r="F78" s="44">
        <v>28119</v>
      </c>
      <c r="G78" s="45">
        <v>80139</v>
      </c>
    </row>
    <row r="79" spans="2:7" x14ac:dyDescent="0.2">
      <c r="B79" s="15">
        <v>8.3000000000000007</v>
      </c>
      <c r="C79" s="58" t="s">
        <v>64</v>
      </c>
      <c r="D79" s="59" t="s">
        <v>8</v>
      </c>
      <c r="E79" s="60">
        <v>2.85</v>
      </c>
      <c r="F79" s="61">
        <v>24947</v>
      </c>
      <c r="G79" s="62">
        <v>71099</v>
      </c>
    </row>
    <row r="80" spans="2:7" x14ac:dyDescent="0.2">
      <c r="B80" s="15">
        <v>8.4</v>
      </c>
      <c r="C80" s="41" t="s">
        <v>65</v>
      </c>
      <c r="D80" s="42" t="s">
        <v>8</v>
      </c>
      <c r="E80" s="43">
        <v>2.85</v>
      </c>
      <c r="F80" s="44">
        <v>14356</v>
      </c>
      <c r="G80" s="45">
        <v>40915</v>
      </c>
    </row>
    <row r="81" spans="2:7" x14ac:dyDescent="0.2">
      <c r="B81" s="15">
        <v>8.5</v>
      </c>
      <c r="C81" s="41" t="s">
        <v>66</v>
      </c>
      <c r="D81" s="42" t="s">
        <v>8</v>
      </c>
      <c r="E81" s="43">
        <v>2.85</v>
      </c>
      <c r="F81" s="44">
        <v>10013</v>
      </c>
      <c r="G81" s="45">
        <v>28537</v>
      </c>
    </row>
    <row r="82" spans="2:7" x14ac:dyDescent="0.2">
      <c r="B82" s="21"/>
      <c r="C82" s="46"/>
      <c r="D82" s="47"/>
      <c r="E82" s="48"/>
      <c r="F82" s="49"/>
      <c r="G82" s="50"/>
    </row>
    <row r="83" spans="2:7" ht="17" thickBot="1" x14ac:dyDescent="0.25">
      <c r="B83" s="27"/>
      <c r="C83" s="51"/>
      <c r="D83" s="52"/>
      <c r="E83" s="53"/>
      <c r="F83" s="54" t="s">
        <v>67</v>
      </c>
      <c r="G83" s="55">
        <v>220690</v>
      </c>
    </row>
    <row r="84" spans="2:7" ht="17" thickBot="1" x14ac:dyDescent="0.25">
      <c r="B84" s="4"/>
      <c r="C84" s="5"/>
      <c r="D84" s="6"/>
      <c r="E84" s="7"/>
      <c r="F84" s="56"/>
      <c r="G84" s="57"/>
    </row>
    <row r="85" spans="2:7" x14ac:dyDescent="0.2">
      <c r="B85" s="10">
        <v>9</v>
      </c>
      <c r="C85" s="37" t="s">
        <v>68</v>
      </c>
      <c r="D85" s="38"/>
      <c r="E85" s="38"/>
      <c r="F85" s="39"/>
      <c r="G85" s="40">
        <v>5147813</v>
      </c>
    </row>
    <row r="86" spans="2:7" ht="17" x14ac:dyDescent="0.2">
      <c r="B86" s="69">
        <v>9.1</v>
      </c>
      <c r="C86" s="70" t="s">
        <v>69</v>
      </c>
      <c r="D86" s="71" t="s">
        <v>8</v>
      </c>
      <c r="E86" s="43">
        <v>2.85</v>
      </c>
      <c r="F86" s="44">
        <v>39040</v>
      </c>
      <c r="G86" s="50">
        <v>111264</v>
      </c>
    </row>
    <row r="87" spans="2:7" ht="17" x14ac:dyDescent="0.2">
      <c r="B87" s="72">
        <v>9.1999999999999993</v>
      </c>
      <c r="C87" s="73" t="s">
        <v>70</v>
      </c>
      <c r="D87" s="74" t="s">
        <v>8</v>
      </c>
      <c r="E87" s="43">
        <v>2.85</v>
      </c>
      <c r="F87" s="44">
        <v>29734</v>
      </c>
      <c r="G87" s="50">
        <v>84742</v>
      </c>
    </row>
    <row r="88" spans="2:7" ht="17" x14ac:dyDescent="0.2">
      <c r="B88" s="72">
        <v>9.3000000000000007</v>
      </c>
      <c r="C88" s="73" t="s">
        <v>71</v>
      </c>
      <c r="D88" s="74" t="s">
        <v>8</v>
      </c>
      <c r="E88" s="43">
        <v>2.85</v>
      </c>
      <c r="F88" s="44">
        <v>19674</v>
      </c>
      <c r="G88" s="50">
        <v>56071</v>
      </c>
    </row>
    <row r="89" spans="2:7" ht="17" x14ac:dyDescent="0.2">
      <c r="B89" s="72">
        <v>9.4</v>
      </c>
      <c r="C89" s="73" t="s">
        <v>72</v>
      </c>
      <c r="D89" s="74" t="s">
        <v>8</v>
      </c>
      <c r="E89" s="43">
        <v>2.85</v>
      </c>
      <c r="F89" s="44">
        <v>14392</v>
      </c>
      <c r="G89" s="50">
        <v>41017</v>
      </c>
    </row>
    <row r="90" spans="2:7" ht="17" x14ac:dyDescent="0.2">
      <c r="B90" s="72">
        <v>9.5</v>
      </c>
      <c r="C90" s="73" t="s">
        <v>73</v>
      </c>
      <c r="D90" s="74" t="s">
        <v>8</v>
      </c>
      <c r="E90" s="43">
        <v>2.85</v>
      </c>
      <c r="F90" s="44">
        <v>22111</v>
      </c>
      <c r="G90" s="50">
        <v>63016</v>
      </c>
    </row>
    <row r="91" spans="2:7" ht="17" x14ac:dyDescent="0.2">
      <c r="B91" s="75">
        <v>9.6</v>
      </c>
      <c r="C91" s="76" t="s">
        <v>74</v>
      </c>
      <c r="D91" s="77" t="s">
        <v>8</v>
      </c>
      <c r="E91" s="43">
        <v>2.85</v>
      </c>
      <c r="F91" s="44">
        <v>29229</v>
      </c>
      <c r="G91" s="50">
        <v>83303</v>
      </c>
    </row>
    <row r="92" spans="2:7" ht="17" x14ac:dyDescent="0.2">
      <c r="B92" s="63">
        <v>9.6999999999999993</v>
      </c>
      <c r="C92" s="41" t="s">
        <v>75</v>
      </c>
      <c r="D92" s="64" t="s">
        <v>8</v>
      </c>
      <c r="E92" s="43">
        <v>100</v>
      </c>
      <c r="F92" s="44">
        <v>47084</v>
      </c>
      <c r="G92" s="50">
        <v>4708400</v>
      </c>
    </row>
    <row r="93" spans="2:7" x14ac:dyDescent="0.2">
      <c r="B93" s="21"/>
      <c r="C93" s="46"/>
      <c r="D93" s="47"/>
      <c r="E93" s="48"/>
      <c r="F93" s="49"/>
      <c r="G93" s="50"/>
    </row>
    <row r="94" spans="2:7" ht="17" thickBot="1" x14ac:dyDescent="0.25">
      <c r="B94" s="27"/>
      <c r="C94" s="51"/>
      <c r="D94" s="52"/>
      <c r="E94" s="53"/>
      <c r="F94" s="54" t="s">
        <v>76</v>
      </c>
      <c r="G94" s="55">
        <v>5147813</v>
      </c>
    </row>
    <row r="95" spans="2:7" ht="17" thickBot="1" x14ac:dyDescent="0.25">
      <c r="B95" s="4"/>
      <c r="C95" s="5"/>
      <c r="D95" s="6"/>
      <c r="E95" s="7"/>
      <c r="F95" s="8"/>
      <c r="G95" s="9"/>
    </row>
    <row r="96" spans="2:7" x14ac:dyDescent="0.2">
      <c r="B96" s="10">
        <v>10</v>
      </c>
      <c r="C96" s="37" t="s">
        <v>77</v>
      </c>
      <c r="D96" s="12"/>
      <c r="E96" s="12"/>
      <c r="F96" s="13"/>
      <c r="G96" s="14">
        <v>8053385</v>
      </c>
    </row>
    <row r="97" spans="2:7" x14ac:dyDescent="0.2">
      <c r="B97" s="15">
        <v>10.1</v>
      </c>
      <c r="C97" s="16" t="s">
        <v>78</v>
      </c>
      <c r="D97" s="17" t="s">
        <v>8</v>
      </c>
      <c r="E97" s="18">
        <v>2.85</v>
      </c>
      <c r="F97" s="44">
        <v>59537</v>
      </c>
      <c r="G97" s="78">
        <v>169680</v>
      </c>
    </row>
    <row r="98" spans="2:7" x14ac:dyDescent="0.2">
      <c r="B98" s="15">
        <v>10.199999999999999</v>
      </c>
      <c r="C98" s="16" t="s">
        <v>79</v>
      </c>
      <c r="D98" s="17" t="s">
        <v>8</v>
      </c>
      <c r="E98" s="18">
        <v>2.85</v>
      </c>
      <c r="F98" s="44">
        <v>44882</v>
      </c>
      <c r="G98" s="78">
        <v>127914</v>
      </c>
    </row>
    <row r="99" spans="2:7" x14ac:dyDescent="0.2">
      <c r="B99" s="15">
        <v>10.3</v>
      </c>
      <c r="C99" s="16" t="s">
        <v>80</v>
      </c>
      <c r="D99" s="17" t="s">
        <v>8</v>
      </c>
      <c r="E99" s="18">
        <v>2.85</v>
      </c>
      <c r="F99" s="44">
        <v>29636</v>
      </c>
      <c r="G99" s="78">
        <v>84463</v>
      </c>
    </row>
    <row r="100" spans="2:7" x14ac:dyDescent="0.2">
      <c r="B100" s="15">
        <v>10.4</v>
      </c>
      <c r="C100" s="16" t="s">
        <v>81</v>
      </c>
      <c r="D100" s="17" t="s">
        <v>8</v>
      </c>
      <c r="E100" s="18">
        <v>2.85</v>
      </c>
      <c r="F100" s="44">
        <v>21683</v>
      </c>
      <c r="G100" s="78">
        <v>61797</v>
      </c>
    </row>
    <row r="101" spans="2:7" x14ac:dyDescent="0.2">
      <c r="B101" s="15">
        <v>10.5</v>
      </c>
      <c r="C101" s="16" t="s">
        <v>82</v>
      </c>
      <c r="D101" s="17" t="s">
        <v>8</v>
      </c>
      <c r="E101" s="18">
        <v>2.85</v>
      </c>
      <c r="F101" s="44">
        <v>33310</v>
      </c>
      <c r="G101" s="78">
        <v>94934</v>
      </c>
    </row>
    <row r="102" spans="2:7" x14ac:dyDescent="0.2">
      <c r="B102" s="15">
        <v>10.6</v>
      </c>
      <c r="C102" s="16" t="s">
        <v>83</v>
      </c>
      <c r="D102" s="17" t="s">
        <v>8</v>
      </c>
      <c r="E102" s="18">
        <v>2.85</v>
      </c>
      <c r="F102" s="44">
        <v>44034</v>
      </c>
      <c r="G102" s="78">
        <v>125497</v>
      </c>
    </row>
    <row r="103" spans="2:7" x14ac:dyDescent="0.2">
      <c r="B103" s="15">
        <v>10.7</v>
      </c>
      <c r="C103" s="16" t="s">
        <v>84</v>
      </c>
      <c r="D103" s="17" t="s">
        <v>8</v>
      </c>
      <c r="E103" s="18">
        <v>100</v>
      </c>
      <c r="F103" s="44">
        <v>73891</v>
      </c>
      <c r="G103" s="78">
        <v>7389100</v>
      </c>
    </row>
    <row r="104" spans="2:7" x14ac:dyDescent="0.2">
      <c r="B104" s="21"/>
      <c r="C104" s="22"/>
      <c r="D104" s="23"/>
      <c r="E104" s="24"/>
      <c r="F104" s="25"/>
      <c r="G104" s="26"/>
    </row>
    <row r="105" spans="2:7" ht="17" thickBot="1" x14ac:dyDescent="0.25">
      <c r="B105" s="27"/>
      <c r="C105" s="28"/>
      <c r="D105" s="29"/>
      <c r="E105" s="30"/>
      <c r="F105" s="54" t="s">
        <v>85</v>
      </c>
      <c r="G105" s="32">
        <v>8053385</v>
      </c>
    </row>
    <row r="106" spans="2:7" ht="17" thickBot="1" x14ac:dyDescent="0.25">
      <c r="B106" s="4"/>
      <c r="C106" s="33"/>
      <c r="D106" s="34"/>
      <c r="E106" s="35"/>
      <c r="F106" s="4"/>
      <c r="G106" s="36"/>
    </row>
    <row r="107" spans="2:7" x14ac:dyDescent="0.2">
      <c r="B107" s="10">
        <v>11</v>
      </c>
      <c r="C107" s="11" t="s">
        <v>86</v>
      </c>
      <c r="D107" s="12"/>
      <c r="E107" s="12"/>
      <c r="F107" s="13"/>
      <c r="G107" s="14">
        <v>571115</v>
      </c>
    </row>
    <row r="108" spans="2:7" x14ac:dyDescent="0.2">
      <c r="B108" s="15">
        <v>11.1</v>
      </c>
      <c r="C108" s="16" t="s">
        <v>87</v>
      </c>
      <c r="D108" s="17" t="s">
        <v>8</v>
      </c>
      <c r="E108" s="18">
        <v>2.85</v>
      </c>
      <c r="F108" s="79">
        <v>65493</v>
      </c>
      <c r="G108" s="78">
        <v>186655</v>
      </c>
    </row>
    <row r="109" spans="2:7" x14ac:dyDescent="0.2">
      <c r="B109" s="15">
        <v>11.2</v>
      </c>
      <c r="C109" s="16" t="s">
        <v>88</v>
      </c>
      <c r="D109" s="17" t="s">
        <v>8</v>
      </c>
      <c r="E109" s="18">
        <v>2.85</v>
      </c>
      <c r="F109" s="79">
        <v>55229</v>
      </c>
      <c r="G109" s="78">
        <v>157403</v>
      </c>
    </row>
    <row r="110" spans="2:7" x14ac:dyDescent="0.2">
      <c r="B110" s="15">
        <v>11.3</v>
      </c>
      <c r="C110" s="16" t="s">
        <v>89</v>
      </c>
      <c r="D110" s="17" t="s">
        <v>8</v>
      </c>
      <c r="E110" s="18">
        <v>2.85</v>
      </c>
      <c r="F110" s="79">
        <v>44966</v>
      </c>
      <c r="G110" s="78">
        <v>128153</v>
      </c>
    </row>
    <row r="111" spans="2:7" x14ac:dyDescent="0.2">
      <c r="B111" s="15">
        <v>11.4</v>
      </c>
      <c r="C111" s="16" t="s">
        <v>90</v>
      </c>
      <c r="D111" s="17" t="s">
        <v>8</v>
      </c>
      <c r="E111" s="18">
        <v>2.85</v>
      </c>
      <c r="F111" s="79">
        <v>34703</v>
      </c>
      <c r="G111" s="78">
        <v>98904</v>
      </c>
    </row>
    <row r="112" spans="2:7" x14ac:dyDescent="0.2">
      <c r="B112" s="21"/>
      <c r="C112" s="22"/>
      <c r="D112" s="23"/>
      <c r="E112" s="24"/>
      <c r="F112" s="25"/>
      <c r="G112" s="26"/>
    </row>
    <row r="113" spans="2:7" ht="17" thickBot="1" x14ac:dyDescent="0.25">
      <c r="B113" s="27"/>
      <c r="C113" s="28"/>
      <c r="D113" s="29"/>
      <c r="E113" s="30"/>
      <c r="F113" s="31" t="s">
        <v>91</v>
      </c>
      <c r="G113" s="32">
        <v>571115</v>
      </c>
    </row>
    <row r="114" spans="2:7" ht="17" thickBot="1" x14ac:dyDescent="0.25">
      <c r="B114" s="4"/>
      <c r="C114" s="33"/>
      <c r="D114" s="34"/>
      <c r="E114" s="35"/>
      <c r="F114" s="4"/>
      <c r="G114" s="36"/>
    </row>
    <row r="115" spans="2:7" x14ac:dyDescent="0.2">
      <c r="B115" s="10">
        <v>12</v>
      </c>
      <c r="C115" s="11" t="s">
        <v>92</v>
      </c>
      <c r="D115" s="12"/>
      <c r="E115" s="12"/>
      <c r="F115" s="13"/>
      <c r="G115" s="14">
        <v>423932</v>
      </c>
    </row>
    <row r="116" spans="2:7" x14ac:dyDescent="0.2">
      <c r="B116" s="15">
        <v>12.1</v>
      </c>
      <c r="C116" s="16" t="s">
        <v>93</v>
      </c>
      <c r="D116" s="17" t="s">
        <v>8</v>
      </c>
      <c r="E116" s="18">
        <v>2.85</v>
      </c>
      <c r="F116" s="79">
        <v>48372</v>
      </c>
      <c r="G116" s="78">
        <v>137860</v>
      </c>
    </row>
    <row r="117" spans="2:7" x14ac:dyDescent="0.2">
      <c r="B117" s="15">
        <v>12.2</v>
      </c>
      <c r="C117" s="16" t="s">
        <v>94</v>
      </c>
      <c r="D117" s="17" t="s">
        <v>8</v>
      </c>
      <c r="E117" s="18">
        <v>2.85</v>
      </c>
      <c r="F117" s="79">
        <v>40915</v>
      </c>
      <c r="G117" s="78">
        <v>116608</v>
      </c>
    </row>
    <row r="118" spans="2:7" x14ac:dyDescent="0.2">
      <c r="B118" s="15">
        <v>12.3</v>
      </c>
      <c r="C118" s="16" t="s">
        <v>95</v>
      </c>
      <c r="D118" s="17" t="s">
        <v>8</v>
      </c>
      <c r="E118" s="18">
        <v>2.85</v>
      </c>
      <c r="F118" s="79">
        <v>33459</v>
      </c>
      <c r="G118" s="78">
        <v>95358</v>
      </c>
    </row>
    <row r="119" spans="2:7" x14ac:dyDescent="0.2">
      <c r="B119" s="15">
        <v>12.4</v>
      </c>
      <c r="C119" s="16" t="s">
        <v>96</v>
      </c>
      <c r="D119" s="17" t="s">
        <v>8</v>
      </c>
      <c r="E119" s="18">
        <v>2.85</v>
      </c>
      <c r="F119" s="79">
        <v>26002</v>
      </c>
      <c r="G119" s="78">
        <v>74106</v>
      </c>
    </row>
    <row r="120" spans="2:7" x14ac:dyDescent="0.2">
      <c r="B120" s="21"/>
      <c r="C120" s="22"/>
      <c r="D120" s="23"/>
      <c r="E120" s="24"/>
      <c r="F120" s="25"/>
      <c r="G120" s="26"/>
    </row>
    <row r="121" spans="2:7" ht="17" thickBot="1" x14ac:dyDescent="0.25">
      <c r="B121" s="27"/>
      <c r="C121" s="28"/>
      <c r="D121" s="29"/>
      <c r="E121" s="30"/>
      <c r="F121" s="31" t="s">
        <v>97</v>
      </c>
      <c r="G121" s="32">
        <v>423932</v>
      </c>
    </row>
    <row r="122" spans="2:7" ht="17" thickBot="1" x14ac:dyDescent="0.25">
      <c r="B122" s="4"/>
      <c r="C122" s="33"/>
      <c r="D122" s="34"/>
      <c r="E122" s="35"/>
      <c r="F122" s="4"/>
      <c r="G122" s="36"/>
    </row>
    <row r="123" spans="2:7" x14ac:dyDescent="0.2">
      <c r="B123" s="10">
        <v>13</v>
      </c>
      <c r="C123" s="11" t="s">
        <v>98</v>
      </c>
      <c r="D123" s="12"/>
      <c r="E123" s="12"/>
      <c r="F123" s="13"/>
      <c r="G123" s="14">
        <v>12496300</v>
      </c>
    </row>
    <row r="124" spans="2:7" x14ac:dyDescent="0.2">
      <c r="B124" s="15">
        <v>13.1</v>
      </c>
      <c r="C124" s="16" t="s">
        <v>99</v>
      </c>
      <c r="D124" s="17" t="s">
        <v>8</v>
      </c>
      <c r="E124" s="18">
        <v>100</v>
      </c>
      <c r="F124" s="79">
        <v>70116</v>
      </c>
      <c r="G124" s="78">
        <v>7011600</v>
      </c>
    </row>
    <row r="125" spans="2:7" x14ac:dyDescent="0.2">
      <c r="B125" s="15">
        <v>13.2</v>
      </c>
      <c r="C125" s="16" t="s">
        <v>100</v>
      </c>
      <c r="D125" s="17" t="s">
        <v>8</v>
      </c>
      <c r="E125" s="18">
        <v>100</v>
      </c>
      <c r="F125" s="79">
        <v>54847</v>
      </c>
      <c r="G125" s="78">
        <v>5484700</v>
      </c>
    </row>
    <row r="126" spans="2:7" x14ac:dyDescent="0.2">
      <c r="B126" s="21"/>
      <c r="C126" s="22"/>
      <c r="D126" s="23"/>
      <c r="E126" s="24"/>
      <c r="F126" s="25"/>
      <c r="G126" s="26"/>
    </row>
    <row r="127" spans="2:7" ht="17" thickBot="1" x14ac:dyDescent="0.25">
      <c r="B127" s="27"/>
      <c r="C127" s="28"/>
      <c r="D127" s="29"/>
      <c r="E127" s="30"/>
      <c r="F127" s="31" t="s">
        <v>101</v>
      </c>
      <c r="G127" s="32">
        <v>12496300</v>
      </c>
    </row>
    <row r="128" spans="2:7" ht="17" thickBot="1" x14ac:dyDescent="0.25">
      <c r="B128" s="4"/>
      <c r="C128" s="33"/>
      <c r="D128" s="34"/>
      <c r="E128" s="35"/>
      <c r="F128" s="4"/>
      <c r="G128" s="36"/>
    </row>
    <row r="129" spans="2:7" x14ac:dyDescent="0.2">
      <c r="B129" s="10">
        <v>14</v>
      </c>
      <c r="C129" s="11" t="s">
        <v>102</v>
      </c>
      <c r="D129" s="12"/>
      <c r="E129" s="12"/>
      <c r="F129" s="13"/>
      <c r="G129" s="14">
        <v>6578</v>
      </c>
    </row>
    <row r="130" spans="2:7" x14ac:dyDescent="0.2">
      <c r="B130" s="15">
        <v>14.1</v>
      </c>
      <c r="C130" s="16" t="s">
        <v>103</v>
      </c>
      <c r="D130" s="17" t="s">
        <v>8</v>
      </c>
      <c r="E130" s="18">
        <v>1</v>
      </c>
      <c r="F130" s="79">
        <v>6578</v>
      </c>
      <c r="G130" s="78">
        <v>6578</v>
      </c>
    </row>
    <row r="131" spans="2:7" x14ac:dyDescent="0.2">
      <c r="B131" s="21"/>
      <c r="C131" s="22"/>
      <c r="D131" s="23"/>
      <c r="E131" s="24"/>
      <c r="F131" s="25"/>
      <c r="G131" s="26"/>
    </row>
    <row r="132" spans="2:7" ht="17" thickBot="1" x14ac:dyDescent="0.25">
      <c r="B132" s="27"/>
      <c r="C132" s="28"/>
      <c r="D132" s="29"/>
      <c r="E132" s="30"/>
      <c r="F132" s="31" t="s">
        <v>104</v>
      </c>
      <c r="G132" s="32">
        <v>6578</v>
      </c>
    </row>
    <row r="133" spans="2:7" ht="17" thickBot="1" x14ac:dyDescent="0.25">
      <c r="B133" s="4"/>
      <c r="C133" s="33"/>
      <c r="D133" s="34"/>
      <c r="E133" s="35"/>
      <c r="F133" s="4"/>
      <c r="G133" s="36"/>
    </row>
    <row r="134" spans="2:7" x14ac:dyDescent="0.2">
      <c r="B134" s="10">
        <v>15</v>
      </c>
      <c r="C134" s="11" t="s">
        <v>105</v>
      </c>
      <c r="D134" s="12"/>
      <c r="E134" s="12"/>
      <c r="F134" s="13"/>
      <c r="G134" s="14">
        <v>6158658</v>
      </c>
    </row>
    <row r="135" spans="2:7" x14ac:dyDescent="0.2">
      <c r="B135" s="15">
        <v>15.1</v>
      </c>
      <c r="C135" s="16" t="s">
        <v>106</v>
      </c>
      <c r="D135" s="17" t="s">
        <v>107</v>
      </c>
      <c r="E135" s="18">
        <v>374</v>
      </c>
      <c r="F135" s="79">
        <v>9349</v>
      </c>
      <c r="G135" s="78">
        <v>3496526</v>
      </c>
    </row>
    <row r="136" spans="2:7" x14ac:dyDescent="0.2">
      <c r="B136" s="15">
        <v>15.2</v>
      </c>
      <c r="C136" s="16" t="s">
        <v>108</v>
      </c>
      <c r="D136" s="17" t="s">
        <v>107</v>
      </c>
      <c r="E136" s="18">
        <v>374</v>
      </c>
      <c r="F136" s="79">
        <v>7118</v>
      </c>
      <c r="G136" s="78">
        <v>2662132</v>
      </c>
    </row>
    <row r="137" spans="2:7" x14ac:dyDescent="0.2">
      <c r="B137" s="21"/>
      <c r="C137" s="22"/>
      <c r="D137" s="23"/>
      <c r="E137" s="24"/>
      <c r="F137" s="25"/>
      <c r="G137" s="26"/>
    </row>
    <row r="138" spans="2:7" ht="17" thickBot="1" x14ac:dyDescent="0.25">
      <c r="B138" s="27"/>
      <c r="C138" s="28"/>
      <c r="D138" s="29"/>
      <c r="E138" s="30"/>
      <c r="F138" s="31" t="s">
        <v>109</v>
      </c>
      <c r="G138" s="32">
        <v>6158658</v>
      </c>
    </row>
    <row r="139" spans="2:7" ht="17" thickBot="1" x14ac:dyDescent="0.25">
      <c r="B139" s="4"/>
      <c r="C139" s="33"/>
      <c r="D139" s="34"/>
      <c r="E139" s="35"/>
      <c r="F139" s="4"/>
      <c r="G139" s="36"/>
    </row>
    <row r="140" spans="2:7" x14ac:dyDescent="0.2">
      <c r="B140" s="10">
        <v>16</v>
      </c>
      <c r="C140" s="11" t="s">
        <v>110</v>
      </c>
      <c r="D140" s="12"/>
      <c r="E140" s="12"/>
      <c r="F140" s="13"/>
      <c r="G140" s="14">
        <v>6644708</v>
      </c>
    </row>
    <row r="141" spans="2:7" x14ac:dyDescent="0.2">
      <c r="B141" s="15">
        <v>16.100000000000001</v>
      </c>
      <c r="C141" s="16" t="s">
        <v>106</v>
      </c>
      <c r="D141" s="17" t="s">
        <v>8</v>
      </c>
      <c r="E141" s="18">
        <v>294</v>
      </c>
      <c r="F141" s="79">
        <v>11479</v>
      </c>
      <c r="G141" s="78">
        <v>3374826</v>
      </c>
    </row>
    <row r="142" spans="2:7" x14ac:dyDescent="0.2">
      <c r="B142" s="15">
        <v>16.2</v>
      </c>
      <c r="C142" s="16" t="s">
        <v>108</v>
      </c>
      <c r="D142" s="17" t="s">
        <v>107</v>
      </c>
      <c r="E142" s="18">
        <v>374</v>
      </c>
      <c r="F142" s="79">
        <v>8743</v>
      </c>
      <c r="G142" s="78">
        <v>3269882</v>
      </c>
    </row>
    <row r="143" spans="2:7" x14ac:dyDescent="0.2">
      <c r="B143" s="21"/>
      <c r="C143" s="22"/>
      <c r="D143" s="23"/>
      <c r="E143" s="24"/>
      <c r="F143" s="25"/>
      <c r="G143" s="26"/>
    </row>
    <row r="144" spans="2:7" ht="17" thickBot="1" x14ac:dyDescent="0.25">
      <c r="B144" s="27"/>
      <c r="C144" s="28"/>
      <c r="D144" s="29"/>
      <c r="E144" s="30"/>
      <c r="F144" s="31" t="s">
        <v>111</v>
      </c>
      <c r="G144" s="32">
        <v>6644708</v>
      </c>
    </row>
    <row r="145" spans="2:7" ht="17" thickBot="1" x14ac:dyDescent="0.25">
      <c r="B145" s="4"/>
      <c r="C145" s="33"/>
      <c r="D145" s="34"/>
      <c r="E145" s="35"/>
      <c r="F145" s="4"/>
      <c r="G145" s="36"/>
    </row>
    <row r="146" spans="2:7" x14ac:dyDescent="0.2">
      <c r="B146" s="10">
        <v>17</v>
      </c>
      <c r="C146" s="11" t="s">
        <v>112</v>
      </c>
      <c r="D146" s="12"/>
      <c r="E146" s="12"/>
      <c r="F146" s="13"/>
      <c r="G146" s="14">
        <v>73377919</v>
      </c>
    </row>
    <row r="147" spans="2:7" x14ac:dyDescent="0.2">
      <c r="B147" s="80"/>
      <c r="C147" s="81"/>
      <c r="D147" s="82"/>
      <c r="E147" s="83"/>
      <c r="F147" s="84"/>
      <c r="G147" s="85"/>
    </row>
    <row r="148" spans="2:7" x14ac:dyDescent="0.2">
      <c r="B148" s="15"/>
      <c r="C148" s="16" t="s">
        <v>113</v>
      </c>
      <c r="D148" s="17" t="s">
        <v>114</v>
      </c>
      <c r="E148" s="18">
        <v>1</v>
      </c>
      <c r="F148" s="86">
        <v>877529</v>
      </c>
      <c r="G148" s="78">
        <v>877529</v>
      </c>
    </row>
    <row r="149" spans="2:7" x14ac:dyDescent="0.2">
      <c r="B149" s="15"/>
      <c r="C149" s="16" t="s">
        <v>115</v>
      </c>
      <c r="D149" s="17" t="s">
        <v>114</v>
      </c>
      <c r="E149" s="18">
        <v>6</v>
      </c>
      <c r="F149" s="86">
        <v>744142</v>
      </c>
      <c r="G149" s="78">
        <v>4464852</v>
      </c>
    </row>
    <row r="150" spans="2:7" x14ac:dyDescent="0.2">
      <c r="B150" s="15"/>
      <c r="C150" s="16" t="s">
        <v>116</v>
      </c>
      <c r="D150" s="17" t="s">
        <v>114</v>
      </c>
      <c r="E150" s="18">
        <v>22</v>
      </c>
      <c r="F150" s="86">
        <v>652356</v>
      </c>
      <c r="G150" s="78">
        <v>14351832</v>
      </c>
    </row>
    <row r="151" spans="2:7" x14ac:dyDescent="0.2">
      <c r="B151" s="15"/>
      <c r="C151" s="16" t="s">
        <v>117</v>
      </c>
      <c r="D151" s="17" t="s">
        <v>114</v>
      </c>
      <c r="E151" s="18">
        <v>1</v>
      </c>
      <c r="F151" s="86">
        <v>1024472</v>
      </c>
      <c r="G151" s="78">
        <v>1024472</v>
      </c>
    </row>
    <row r="152" spans="2:7" x14ac:dyDescent="0.2">
      <c r="B152" s="15"/>
      <c r="C152" s="16" t="s">
        <v>118</v>
      </c>
      <c r="D152" s="17" t="s">
        <v>114</v>
      </c>
      <c r="E152" s="18">
        <v>6</v>
      </c>
      <c r="F152" s="86">
        <v>894785</v>
      </c>
      <c r="G152" s="78">
        <v>5368710</v>
      </c>
    </row>
    <row r="153" spans="2:7" x14ac:dyDescent="0.2">
      <c r="B153" s="15"/>
      <c r="C153" s="16" t="s">
        <v>119</v>
      </c>
      <c r="D153" s="17" t="s">
        <v>114</v>
      </c>
      <c r="E153" s="18">
        <v>22</v>
      </c>
      <c r="F153" s="86">
        <v>802999</v>
      </c>
      <c r="G153" s="78">
        <v>17665978</v>
      </c>
    </row>
    <row r="154" spans="2:7" x14ac:dyDescent="0.2">
      <c r="B154" s="15"/>
      <c r="C154" s="16" t="s">
        <v>120</v>
      </c>
      <c r="D154" s="17" t="s">
        <v>114</v>
      </c>
      <c r="E154" s="18">
        <v>1</v>
      </c>
      <c r="F154" s="86">
        <v>1115635</v>
      </c>
      <c r="G154" s="78">
        <v>1115635</v>
      </c>
    </row>
    <row r="155" spans="2:7" x14ac:dyDescent="0.2">
      <c r="B155" s="15"/>
      <c r="C155" s="16" t="s">
        <v>121</v>
      </c>
      <c r="D155" s="17" t="s">
        <v>114</v>
      </c>
      <c r="E155" s="18">
        <v>6</v>
      </c>
      <c r="F155" s="86">
        <v>1050356</v>
      </c>
      <c r="G155" s="78">
        <v>6302136</v>
      </c>
    </row>
    <row r="156" spans="2:7" x14ac:dyDescent="0.2">
      <c r="B156" s="15"/>
      <c r="C156" s="16" t="s">
        <v>122</v>
      </c>
      <c r="D156" s="17" t="s">
        <v>114</v>
      </c>
      <c r="E156" s="18">
        <v>22</v>
      </c>
      <c r="F156" s="86">
        <v>958570</v>
      </c>
      <c r="G156" s="78">
        <v>21088540</v>
      </c>
    </row>
    <row r="157" spans="2:7" x14ac:dyDescent="0.2">
      <c r="B157" s="15"/>
      <c r="C157" s="16" t="s">
        <v>120</v>
      </c>
      <c r="D157" s="17" t="s">
        <v>114</v>
      </c>
      <c r="E157" s="18">
        <v>1</v>
      </c>
      <c r="F157" s="86">
        <v>1118235</v>
      </c>
      <c r="G157" s="78">
        <v>1118235</v>
      </c>
    </row>
    <row r="158" spans="2:7" x14ac:dyDescent="0.2">
      <c r="B158" s="21"/>
      <c r="C158" s="22"/>
      <c r="D158" s="23"/>
      <c r="E158" s="24"/>
      <c r="F158" s="25"/>
      <c r="G158" s="26"/>
    </row>
    <row r="159" spans="2:7" ht="17" thickBot="1" x14ac:dyDescent="0.25">
      <c r="B159" s="27"/>
      <c r="C159" s="28"/>
      <c r="D159" s="29"/>
      <c r="E159" s="30"/>
      <c r="F159" s="31" t="s">
        <v>123</v>
      </c>
      <c r="G159" s="32">
        <v>73377919</v>
      </c>
    </row>
    <row r="160" spans="2:7" ht="17" thickBot="1" x14ac:dyDescent="0.25">
      <c r="B160" s="4"/>
      <c r="C160" s="33"/>
      <c r="D160" s="34"/>
      <c r="E160" s="35"/>
      <c r="F160" s="4"/>
      <c r="G160" s="36"/>
    </row>
    <row r="161" spans="2:7" x14ac:dyDescent="0.2">
      <c r="B161" s="10">
        <v>18</v>
      </c>
      <c r="C161" s="11" t="s">
        <v>124</v>
      </c>
      <c r="D161" s="12"/>
      <c r="E161" s="12"/>
      <c r="F161" s="13"/>
      <c r="G161" s="14">
        <v>5664</v>
      </c>
    </row>
    <row r="162" spans="2:7" x14ac:dyDescent="0.2">
      <c r="B162" s="80"/>
      <c r="C162" s="81"/>
      <c r="D162" s="82"/>
      <c r="E162" s="83"/>
      <c r="F162" s="84"/>
      <c r="G162" s="85"/>
    </row>
    <row r="163" spans="2:7" x14ac:dyDescent="0.2">
      <c r="B163" s="87"/>
      <c r="C163" s="22" t="s">
        <v>125</v>
      </c>
      <c r="D163" s="23" t="s">
        <v>107</v>
      </c>
      <c r="E163" s="88">
        <v>1</v>
      </c>
      <c r="F163" s="25">
        <v>3097</v>
      </c>
      <c r="G163" s="26">
        <v>3097</v>
      </c>
    </row>
    <row r="164" spans="2:7" x14ac:dyDescent="0.2">
      <c r="B164" s="87"/>
      <c r="C164" s="22" t="s">
        <v>126</v>
      </c>
      <c r="D164" s="23" t="s">
        <v>107</v>
      </c>
      <c r="E164" s="88">
        <v>1</v>
      </c>
      <c r="F164" s="25">
        <v>2567</v>
      </c>
      <c r="G164" s="26">
        <v>2567</v>
      </c>
    </row>
    <row r="165" spans="2:7" x14ac:dyDescent="0.2">
      <c r="B165" s="21"/>
      <c r="C165" s="22"/>
      <c r="D165" s="23"/>
      <c r="E165" s="24"/>
      <c r="F165" s="25"/>
      <c r="G165" s="26"/>
    </row>
    <row r="166" spans="2:7" ht="17" thickBot="1" x14ac:dyDescent="0.25">
      <c r="B166" s="27"/>
      <c r="C166" s="28"/>
      <c r="D166" s="29"/>
      <c r="E166" s="30"/>
      <c r="F166" s="31" t="s">
        <v>127</v>
      </c>
      <c r="G166" s="32">
        <v>5664</v>
      </c>
    </row>
    <row r="167" spans="2:7" ht="17" thickBot="1" x14ac:dyDescent="0.25">
      <c r="B167" s="4"/>
      <c r="C167" s="33"/>
      <c r="D167" s="34"/>
      <c r="E167" s="35"/>
      <c r="F167" s="4"/>
      <c r="G167" s="36"/>
    </row>
    <row r="168" spans="2:7" x14ac:dyDescent="0.2">
      <c r="B168" s="10" t="s">
        <v>128</v>
      </c>
      <c r="C168" s="11" t="s">
        <v>129</v>
      </c>
      <c r="D168" s="12"/>
      <c r="E168" s="12"/>
      <c r="F168" s="13"/>
      <c r="G168" s="14">
        <v>0</v>
      </c>
    </row>
    <row r="169" spans="2:7" x14ac:dyDescent="0.2">
      <c r="B169" s="80"/>
      <c r="C169" s="81"/>
      <c r="D169" s="82"/>
      <c r="E169" s="83"/>
      <c r="F169" s="84"/>
      <c r="G169" s="85"/>
    </row>
    <row r="170" spans="2:7" x14ac:dyDescent="0.2">
      <c r="B170" s="21"/>
      <c r="C170" s="22"/>
      <c r="D170" s="23"/>
      <c r="E170" s="24"/>
      <c r="F170" s="25"/>
      <c r="G170" s="26"/>
    </row>
    <row r="171" spans="2:7" ht="17" thickBot="1" x14ac:dyDescent="0.25">
      <c r="B171" s="27"/>
      <c r="C171" s="28"/>
      <c r="D171" s="29"/>
      <c r="E171" s="30"/>
      <c r="F171" s="31" t="s">
        <v>130</v>
      </c>
      <c r="G171" s="32">
        <v>0</v>
      </c>
    </row>
    <row r="172" spans="2:7" ht="17" thickBot="1" x14ac:dyDescent="0.25">
      <c r="B172" s="4"/>
      <c r="C172" s="33"/>
      <c r="D172" s="34"/>
      <c r="E172" s="35"/>
      <c r="F172" s="4"/>
      <c r="G172" s="36"/>
    </row>
    <row r="173" spans="2:7" x14ac:dyDescent="0.2">
      <c r="B173" s="10">
        <v>19</v>
      </c>
      <c r="C173" s="11" t="s">
        <v>131</v>
      </c>
      <c r="D173" s="12"/>
      <c r="E173" s="12"/>
      <c r="F173" s="13"/>
      <c r="G173" s="14">
        <v>4115929</v>
      </c>
    </row>
    <row r="174" spans="2:7" x14ac:dyDescent="0.2">
      <c r="B174" s="80"/>
      <c r="C174" s="81"/>
      <c r="D174" s="82"/>
      <c r="E174" s="83"/>
      <c r="F174" s="84"/>
      <c r="G174" s="85"/>
    </row>
    <row r="175" spans="2:7" x14ac:dyDescent="0.2">
      <c r="B175" s="15"/>
      <c r="C175" s="16" t="s">
        <v>132</v>
      </c>
      <c r="D175" s="17" t="s">
        <v>2</v>
      </c>
      <c r="E175" s="18">
        <v>1</v>
      </c>
      <c r="F175" s="86">
        <v>272362</v>
      </c>
      <c r="G175" s="78">
        <v>272362</v>
      </c>
    </row>
    <row r="176" spans="2:7" x14ac:dyDescent="0.2">
      <c r="B176" s="15"/>
      <c r="C176" s="16" t="s">
        <v>133</v>
      </c>
      <c r="D176" s="17" t="s">
        <v>2</v>
      </c>
      <c r="E176" s="18">
        <v>1</v>
      </c>
      <c r="F176" s="86">
        <v>634724</v>
      </c>
      <c r="G176" s="78">
        <v>634724</v>
      </c>
    </row>
    <row r="177" spans="2:7" x14ac:dyDescent="0.2">
      <c r="B177" s="15"/>
      <c r="C177" s="16" t="s">
        <v>134</v>
      </c>
      <c r="D177" s="17" t="s">
        <v>2</v>
      </c>
      <c r="E177" s="18">
        <v>1</v>
      </c>
      <c r="F177" s="86">
        <v>852086</v>
      </c>
      <c r="G177" s="78">
        <v>852086</v>
      </c>
    </row>
    <row r="178" spans="2:7" x14ac:dyDescent="0.2">
      <c r="B178" s="15"/>
      <c r="C178" s="16" t="s">
        <v>135</v>
      </c>
      <c r="D178" s="17" t="s">
        <v>2</v>
      </c>
      <c r="E178" s="18">
        <v>1</v>
      </c>
      <c r="F178" s="86">
        <v>1089448</v>
      </c>
      <c r="G178" s="78">
        <v>1089448</v>
      </c>
    </row>
    <row r="179" spans="2:7" x14ac:dyDescent="0.2">
      <c r="B179" s="15"/>
      <c r="C179" s="16" t="s">
        <v>136</v>
      </c>
      <c r="D179" s="17" t="s">
        <v>2</v>
      </c>
      <c r="E179" s="18">
        <v>1</v>
      </c>
      <c r="F179" s="86">
        <v>1267309</v>
      </c>
      <c r="G179" s="78">
        <v>1267309</v>
      </c>
    </row>
    <row r="180" spans="2:7" x14ac:dyDescent="0.2">
      <c r="B180" s="21"/>
      <c r="C180" s="22"/>
      <c r="D180" s="23"/>
      <c r="E180" s="24"/>
      <c r="F180" s="25"/>
      <c r="G180" s="26"/>
    </row>
    <row r="181" spans="2:7" ht="17" thickBot="1" x14ac:dyDescent="0.25">
      <c r="B181" s="27"/>
      <c r="C181" s="28"/>
      <c r="D181" s="29"/>
      <c r="E181" s="30"/>
      <c r="F181" s="31" t="s">
        <v>137</v>
      </c>
      <c r="G181" s="32">
        <v>4115929</v>
      </c>
    </row>
    <row r="182" spans="2:7" ht="17" thickBot="1" x14ac:dyDescent="0.25">
      <c r="B182" s="4"/>
      <c r="C182" s="33"/>
      <c r="D182" s="34"/>
      <c r="E182" s="35"/>
      <c r="F182" s="4"/>
      <c r="G182" s="36"/>
    </row>
    <row r="183" spans="2:7" x14ac:dyDescent="0.2">
      <c r="B183" s="10">
        <v>20</v>
      </c>
      <c r="C183" s="11" t="s">
        <v>138</v>
      </c>
      <c r="D183" s="12"/>
      <c r="E183" s="12"/>
      <c r="F183" s="13"/>
      <c r="G183" s="14">
        <v>263056</v>
      </c>
    </row>
    <row r="184" spans="2:7" x14ac:dyDescent="0.2">
      <c r="B184" s="80"/>
      <c r="C184" s="81"/>
      <c r="D184" s="82"/>
      <c r="E184" s="83"/>
      <c r="F184" s="84"/>
      <c r="G184" s="85"/>
    </row>
    <row r="185" spans="2:7" x14ac:dyDescent="0.2">
      <c r="B185" s="87"/>
      <c r="C185" s="22" t="s">
        <v>139</v>
      </c>
      <c r="D185" s="23" t="s">
        <v>140</v>
      </c>
      <c r="E185" s="88">
        <v>1</v>
      </c>
      <c r="F185" s="25">
        <v>20036</v>
      </c>
      <c r="G185" s="26">
        <v>20036</v>
      </c>
    </row>
    <row r="186" spans="2:7" x14ac:dyDescent="0.2">
      <c r="B186" s="87"/>
      <c r="C186" s="22" t="s">
        <v>141</v>
      </c>
      <c r="D186" s="23" t="s">
        <v>140</v>
      </c>
      <c r="E186" s="88">
        <v>1</v>
      </c>
      <c r="F186" s="25">
        <v>36671</v>
      </c>
      <c r="G186" s="26">
        <v>36671</v>
      </c>
    </row>
    <row r="187" spans="2:7" x14ac:dyDescent="0.2">
      <c r="B187" s="87" t="s">
        <v>142</v>
      </c>
      <c r="C187" s="22" t="s">
        <v>143</v>
      </c>
      <c r="D187" s="23" t="s">
        <v>140</v>
      </c>
      <c r="E187" s="88">
        <v>1</v>
      </c>
      <c r="F187" s="25">
        <v>53306</v>
      </c>
      <c r="G187" s="26">
        <v>53306</v>
      </c>
    </row>
    <row r="188" spans="2:7" x14ac:dyDescent="0.2">
      <c r="B188" s="87" t="s">
        <v>142</v>
      </c>
      <c r="C188" s="22" t="s">
        <v>144</v>
      </c>
      <c r="D188" s="23" t="s">
        <v>140</v>
      </c>
      <c r="E188" s="88">
        <v>1</v>
      </c>
      <c r="F188" s="25">
        <v>68204</v>
      </c>
      <c r="G188" s="26">
        <v>68204</v>
      </c>
    </row>
    <row r="189" spans="2:7" x14ac:dyDescent="0.2">
      <c r="B189" s="87" t="s">
        <v>142</v>
      </c>
      <c r="C189" s="22" t="s">
        <v>145</v>
      </c>
      <c r="D189" s="23" t="s">
        <v>140</v>
      </c>
      <c r="E189" s="88">
        <v>1</v>
      </c>
      <c r="F189" s="89">
        <v>84839</v>
      </c>
      <c r="G189" s="26">
        <v>84839</v>
      </c>
    </row>
    <row r="190" spans="2:7" x14ac:dyDescent="0.2">
      <c r="B190" s="21"/>
      <c r="C190" s="22"/>
      <c r="D190" s="23"/>
      <c r="E190" s="24"/>
      <c r="F190" s="25"/>
      <c r="G190" s="26"/>
    </row>
    <row r="191" spans="2:7" ht="17" thickBot="1" x14ac:dyDescent="0.25">
      <c r="B191" s="27"/>
      <c r="C191" s="28"/>
      <c r="D191" s="29"/>
      <c r="E191" s="30"/>
      <c r="F191" s="31" t="s">
        <v>146</v>
      </c>
      <c r="G191" s="32">
        <v>263056</v>
      </c>
    </row>
    <row r="192" spans="2:7" ht="17" thickBot="1" x14ac:dyDescent="0.25">
      <c r="B192" s="4"/>
      <c r="C192" s="33"/>
      <c r="D192" s="34"/>
      <c r="E192" s="35"/>
      <c r="F192" s="4"/>
      <c r="G192" s="36"/>
    </row>
    <row r="193" spans="2:7" x14ac:dyDescent="0.2">
      <c r="B193" s="10">
        <v>21</v>
      </c>
      <c r="C193" s="11" t="s">
        <v>147</v>
      </c>
      <c r="D193" s="12"/>
      <c r="E193" s="12"/>
      <c r="F193" s="13"/>
      <c r="G193" s="14">
        <v>745886</v>
      </c>
    </row>
    <row r="194" spans="2:7" x14ac:dyDescent="0.2">
      <c r="B194" s="80"/>
      <c r="C194" s="81"/>
      <c r="D194" s="82"/>
      <c r="E194" s="83"/>
      <c r="F194" s="84"/>
      <c r="G194" s="85"/>
    </row>
    <row r="195" spans="2:7" x14ac:dyDescent="0.2">
      <c r="B195" s="15"/>
      <c r="C195" s="16" t="s">
        <v>148</v>
      </c>
      <c r="D195" s="17" t="s">
        <v>140</v>
      </c>
      <c r="E195" s="18">
        <v>1</v>
      </c>
      <c r="F195" s="86">
        <v>41368</v>
      </c>
      <c r="G195" s="78">
        <v>41368</v>
      </c>
    </row>
    <row r="196" spans="2:7" x14ac:dyDescent="0.2">
      <c r="B196" s="87"/>
      <c r="C196" s="22" t="s">
        <v>149</v>
      </c>
      <c r="D196" s="23" t="s">
        <v>140</v>
      </c>
      <c r="E196" s="88">
        <v>1</v>
      </c>
      <c r="F196" s="25">
        <v>74546</v>
      </c>
      <c r="G196" s="26">
        <v>74546</v>
      </c>
    </row>
    <row r="197" spans="2:7" x14ac:dyDescent="0.2">
      <c r="B197" s="87" t="s">
        <v>142</v>
      </c>
      <c r="C197" s="22" t="s">
        <v>150</v>
      </c>
      <c r="D197" s="23" t="s">
        <v>140</v>
      </c>
      <c r="E197" s="88">
        <v>1</v>
      </c>
      <c r="F197" s="25">
        <v>107725</v>
      </c>
      <c r="G197" s="26">
        <v>107725</v>
      </c>
    </row>
    <row r="198" spans="2:7" x14ac:dyDescent="0.2">
      <c r="B198" s="87" t="s">
        <v>142</v>
      </c>
      <c r="C198" s="22" t="s">
        <v>151</v>
      </c>
      <c r="D198" s="23" t="s">
        <v>140</v>
      </c>
      <c r="E198" s="88">
        <v>1</v>
      </c>
      <c r="F198" s="25">
        <v>140904</v>
      </c>
      <c r="G198" s="26">
        <v>140904</v>
      </c>
    </row>
    <row r="199" spans="2:7" x14ac:dyDescent="0.2">
      <c r="B199" s="87" t="s">
        <v>142</v>
      </c>
      <c r="C199" s="22" t="s">
        <v>152</v>
      </c>
      <c r="D199" s="23" t="s">
        <v>140</v>
      </c>
      <c r="E199" s="88">
        <v>1</v>
      </c>
      <c r="F199" s="25">
        <v>174082</v>
      </c>
      <c r="G199" s="26">
        <v>174082</v>
      </c>
    </row>
    <row r="200" spans="2:7" x14ac:dyDescent="0.2">
      <c r="B200" s="87" t="s">
        <v>142</v>
      </c>
      <c r="C200" s="22" t="s">
        <v>153</v>
      </c>
      <c r="D200" s="23" t="s">
        <v>140</v>
      </c>
      <c r="E200" s="88">
        <v>1</v>
      </c>
      <c r="F200" s="25">
        <v>207261</v>
      </c>
      <c r="G200" s="26">
        <v>207261</v>
      </c>
    </row>
    <row r="201" spans="2:7" x14ac:dyDescent="0.2">
      <c r="B201" s="21"/>
      <c r="C201" s="22"/>
      <c r="D201" s="23"/>
      <c r="E201" s="24"/>
      <c r="F201" s="25"/>
      <c r="G201" s="26"/>
    </row>
    <row r="202" spans="2:7" ht="17" thickBot="1" x14ac:dyDescent="0.25">
      <c r="B202" s="27"/>
      <c r="C202" s="28"/>
      <c r="D202" s="29"/>
      <c r="E202" s="30"/>
      <c r="F202" s="31" t="s">
        <v>154</v>
      </c>
      <c r="G202" s="32">
        <v>745886</v>
      </c>
    </row>
    <row r="203" spans="2:7" ht="17" thickBot="1" x14ac:dyDescent="0.25">
      <c r="B203" s="4"/>
      <c r="C203" s="33"/>
      <c r="D203" s="34"/>
      <c r="E203" s="35"/>
      <c r="F203" s="4"/>
      <c r="G203" s="36"/>
    </row>
    <row r="204" spans="2:7" x14ac:dyDescent="0.2">
      <c r="B204" s="10">
        <v>23</v>
      </c>
      <c r="C204" s="11" t="s">
        <v>155</v>
      </c>
      <c r="D204" s="12"/>
      <c r="E204" s="12"/>
      <c r="F204" s="13"/>
      <c r="G204" s="14">
        <v>1001583</v>
      </c>
    </row>
    <row r="205" spans="2:7" x14ac:dyDescent="0.2">
      <c r="B205" s="80"/>
      <c r="C205" s="81"/>
      <c r="D205" s="82"/>
      <c r="E205" s="83"/>
      <c r="F205" s="84"/>
      <c r="G205" s="85"/>
    </row>
    <row r="206" spans="2:7" x14ac:dyDescent="0.2">
      <c r="B206" s="87"/>
      <c r="C206" s="22" t="s">
        <v>156</v>
      </c>
      <c r="D206" s="23" t="s">
        <v>140</v>
      </c>
      <c r="E206" s="88">
        <v>1</v>
      </c>
      <c r="F206" s="25">
        <v>120190</v>
      </c>
      <c r="G206" s="26">
        <v>120190</v>
      </c>
    </row>
    <row r="207" spans="2:7" x14ac:dyDescent="0.2">
      <c r="B207" s="87" t="s">
        <v>142</v>
      </c>
      <c r="C207" s="22" t="s">
        <v>157</v>
      </c>
      <c r="D207" s="23" t="s">
        <v>140</v>
      </c>
      <c r="E207" s="88">
        <v>1</v>
      </c>
      <c r="F207" s="25">
        <v>200317</v>
      </c>
      <c r="G207" s="26">
        <v>200317</v>
      </c>
    </row>
    <row r="208" spans="2:7" x14ac:dyDescent="0.2">
      <c r="B208" s="87" t="s">
        <v>142</v>
      </c>
      <c r="C208" s="22" t="s">
        <v>158</v>
      </c>
      <c r="D208" s="23" t="s">
        <v>140</v>
      </c>
      <c r="E208" s="88">
        <v>1</v>
      </c>
      <c r="F208" s="25">
        <v>280443</v>
      </c>
      <c r="G208" s="26">
        <v>280443</v>
      </c>
    </row>
    <row r="209" spans="2:7" x14ac:dyDescent="0.2">
      <c r="B209" s="87" t="s">
        <v>142</v>
      </c>
      <c r="C209" s="22" t="s">
        <v>159</v>
      </c>
      <c r="D209" s="23" t="s">
        <v>140</v>
      </c>
      <c r="E209" s="88">
        <v>1</v>
      </c>
      <c r="F209" s="25">
        <v>400633</v>
      </c>
      <c r="G209" s="26">
        <v>400633</v>
      </c>
    </row>
    <row r="210" spans="2:7" x14ac:dyDescent="0.2">
      <c r="B210" s="21"/>
      <c r="C210" s="22"/>
      <c r="D210" s="23"/>
      <c r="E210" s="24"/>
      <c r="F210" s="25"/>
      <c r="G210" s="26"/>
    </row>
    <row r="211" spans="2:7" ht="17" thickBot="1" x14ac:dyDescent="0.25">
      <c r="B211" s="27"/>
      <c r="C211" s="28"/>
      <c r="D211" s="29"/>
      <c r="E211" s="30"/>
      <c r="F211" s="31" t="s">
        <v>160</v>
      </c>
      <c r="G211" s="32">
        <v>1001583</v>
      </c>
    </row>
    <row r="212" spans="2:7" ht="17" thickBot="1" x14ac:dyDescent="0.25">
      <c r="B212" s="4"/>
      <c r="C212" s="33"/>
      <c r="D212" s="34"/>
      <c r="E212" s="35"/>
      <c r="F212" s="4"/>
      <c r="G212" s="36"/>
    </row>
    <row r="213" spans="2:7" x14ac:dyDescent="0.2">
      <c r="B213" s="10">
        <v>21</v>
      </c>
      <c r="C213" s="11" t="s">
        <v>161</v>
      </c>
      <c r="D213" s="12"/>
      <c r="E213" s="12"/>
      <c r="F213" s="13"/>
      <c r="G213" s="14">
        <v>78906</v>
      </c>
    </row>
    <row r="214" spans="2:7" x14ac:dyDescent="0.2">
      <c r="B214" s="80"/>
      <c r="C214" s="81"/>
      <c r="D214" s="82"/>
      <c r="E214" s="83"/>
      <c r="F214" s="84"/>
      <c r="G214" s="85"/>
    </row>
    <row r="215" spans="2:7" x14ac:dyDescent="0.2">
      <c r="B215" s="87"/>
      <c r="C215" s="22" t="s">
        <v>162</v>
      </c>
      <c r="D215" s="23" t="s">
        <v>107</v>
      </c>
      <c r="E215" s="88">
        <v>1</v>
      </c>
      <c r="F215" s="25">
        <v>7179</v>
      </c>
      <c r="G215" s="26">
        <v>7179</v>
      </c>
    </row>
    <row r="216" spans="2:7" x14ac:dyDescent="0.2">
      <c r="B216" s="87" t="s">
        <v>142</v>
      </c>
      <c r="C216" s="22" t="s">
        <v>163</v>
      </c>
      <c r="D216" s="23" t="s">
        <v>107</v>
      </c>
      <c r="E216" s="88">
        <v>1</v>
      </c>
      <c r="F216" s="25">
        <v>5867</v>
      </c>
      <c r="G216" s="26">
        <v>5867</v>
      </c>
    </row>
    <row r="217" spans="2:7" x14ac:dyDescent="0.2">
      <c r="B217" s="87" t="s">
        <v>142</v>
      </c>
      <c r="C217" s="22" t="s">
        <v>164</v>
      </c>
      <c r="D217" s="23" t="s">
        <v>107</v>
      </c>
      <c r="E217" s="88">
        <v>1</v>
      </c>
      <c r="F217" s="25">
        <v>5120</v>
      </c>
      <c r="G217" s="26">
        <v>5120</v>
      </c>
    </row>
    <row r="218" spans="2:7" x14ac:dyDescent="0.2">
      <c r="B218" s="87" t="s">
        <v>142</v>
      </c>
      <c r="C218" s="22" t="s">
        <v>165</v>
      </c>
      <c r="D218" s="23" t="s">
        <v>107</v>
      </c>
      <c r="E218" s="88">
        <v>1</v>
      </c>
      <c r="F218" s="25">
        <v>4276</v>
      </c>
      <c r="G218" s="26">
        <v>4276</v>
      </c>
    </row>
    <row r="219" spans="2:7" x14ac:dyDescent="0.2">
      <c r="B219" s="87" t="s">
        <v>142</v>
      </c>
      <c r="C219" s="22" t="s">
        <v>166</v>
      </c>
      <c r="D219" s="23" t="s">
        <v>107</v>
      </c>
      <c r="E219" s="88">
        <v>1</v>
      </c>
      <c r="F219" s="25">
        <v>3860</v>
      </c>
      <c r="G219" s="26">
        <v>3860</v>
      </c>
    </row>
    <row r="220" spans="2:7" x14ac:dyDescent="0.2">
      <c r="B220" s="87" t="s">
        <v>142</v>
      </c>
      <c r="C220" s="22" t="s">
        <v>167</v>
      </c>
      <c r="D220" s="23" t="s">
        <v>107</v>
      </c>
      <c r="E220" s="88">
        <v>1</v>
      </c>
      <c r="F220" s="25">
        <v>14359</v>
      </c>
      <c r="G220" s="26">
        <v>14359</v>
      </c>
    </row>
    <row r="221" spans="2:7" x14ac:dyDescent="0.2">
      <c r="B221" s="87" t="s">
        <v>142</v>
      </c>
      <c r="C221" s="22" t="s">
        <v>168</v>
      </c>
      <c r="D221" s="23" t="s">
        <v>107</v>
      </c>
      <c r="E221" s="88">
        <v>1</v>
      </c>
      <c r="F221" s="25">
        <v>11733</v>
      </c>
      <c r="G221" s="26">
        <v>11733</v>
      </c>
    </row>
    <row r="222" spans="2:7" x14ac:dyDescent="0.2">
      <c r="B222" s="87" t="s">
        <v>142</v>
      </c>
      <c r="C222" s="22" t="s">
        <v>169</v>
      </c>
      <c r="D222" s="23" t="s">
        <v>107</v>
      </c>
      <c r="E222" s="88">
        <v>1</v>
      </c>
      <c r="F222" s="25">
        <v>10240</v>
      </c>
      <c r="G222" s="26">
        <v>10240</v>
      </c>
    </row>
    <row r="223" spans="2:7" x14ac:dyDescent="0.2">
      <c r="B223" s="87" t="s">
        <v>142</v>
      </c>
      <c r="C223" s="22" t="s">
        <v>170</v>
      </c>
      <c r="D223" s="23" t="s">
        <v>107</v>
      </c>
      <c r="E223" s="88">
        <v>1</v>
      </c>
      <c r="F223" s="25">
        <v>8552</v>
      </c>
      <c r="G223" s="26">
        <v>8552</v>
      </c>
    </row>
    <row r="224" spans="2:7" x14ac:dyDescent="0.2">
      <c r="B224" s="87" t="s">
        <v>142</v>
      </c>
      <c r="C224" s="22" t="s">
        <v>171</v>
      </c>
      <c r="D224" s="23" t="s">
        <v>107</v>
      </c>
      <c r="E224" s="88">
        <v>1</v>
      </c>
      <c r="F224" s="25">
        <v>7720</v>
      </c>
      <c r="G224" s="26">
        <v>7720</v>
      </c>
    </row>
    <row r="225" spans="2:7" x14ac:dyDescent="0.2">
      <c r="B225" s="21"/>
      <c r="C225" s="22"/>
      <c r="D225" s="23"/>
      <c r="E225" s="24"/>
      <c r="F225" s="25"/>
      <c r="G225" s="26"/>
    </row>
    <row r="226" spans="2:7" ht="17" thickBot="1" x14ac:dyDescent="0.25">
      <c r="B226" s="27"/>
      <c r="C226" s="28"/>
      <c r="D226" s="29"/>
      <c r="E226" s="30"/>
      <c r="F226" s="31" t="s">
        <v>172</v>
      </c>
      <c r="G226" s="32">
        <v>78906</v>
      </c>
    </row>
    <row r="227" spans="2:7" ht="17" thickBot="1" x14ac:dyDescent="0.25">
      <c r="B227" s="4"/>
      <c r="C227" s="33"/>
      <c r="D227" s="34"/>
      <c r="E227" s="35"/>
      <c r="F227" s="4"/>
      <c r="G227" s="36"/>
    </row>
    <row r="228" spans="2:7" x14ac:dyDescent="0.2">
      <c r="B228" s="10">
        <v>22</v>
      </c>
      <c r="C228" s="11" t="s">
        <v>173</v>
      </c>
      <c r="D228" s="12"/>
      <c r="E228" s="12"/>
      <c r="F228" s="13"/>
      <c r="G228" s="14">
        <v>16690</v>
      </c>
    </row>
    <row r="229" spans="2:7" x14ac:dyDescent="0.2">
      <c r="B229" s="80"/>
      <c r="C229" s="81"/>
      <c r="D229" s="82"/>
      <c r="E229" s="83"/>
      <c r="F229" s="84"/>
      <c r="G229" s="85"/>
    </row>
    <row r="230" spans="2:7" x14ac:dyDescent="0.2">
      <c r="B230" s="15"/>
      <c r="C230" s="16" t="s">
        <v>174</v>
      </c>
      <c r="D230" s="17" t="s">
        <v>107</v>
      </c>
      <c r="E230" s="18">
        <v>1</v>
      </c>
      <c r="F230" s="86">
        <v>1368</v>
      </c>
      <c r="G230" s="78">
        <v>1368</v>
      </c>
    </row>
    <row r="231" spans="2:7" x14ac:dyDescent="0.2">
      <c r="B231" s="15"/>
      <c r="C231" s="16" t="s">
        <v>175</v>
      </c>
      <c r="D231" s="17" t="s">
        <v>107</v>
      </c>
      <c r="E231" s="18">
        <v>1</v>
      </c>
      <c r="F231" s="86">
        <v>1185</v>
      </c>
      <c r="G231" s="78">
        <v>1185</v>
      </c>
    </row>
    <row r="232" spans="2:7" x14ac:dyDescent="0.2">
      <c r="B232" s="15"/>
      <c r="C232" s="16" t="s">
        <v>176</v>
      </c>
      <c r="D232" s="17" t="s">
        <v>107</v>
      </c>
      <c r="E232" s="18">
        <v>1</v>
      </c>
      <c r="F232" s="86">
        <v>1089</v>
      </c>
      <c r="G232" s="78">
        <v>1089</v>
      </c>
    </row>
    <row r="233" spans="2:7" x14ac:dyDescent="0.2">
      <c r="B233" s="15"/>
      <c r="C233" s="16" t="s">
        <v>177</v>
      </c>
      <c r="D233" s="17" t="s">
        <v>107</v>
      </c>
      <c r="E233" s="18">
        <v>1</v>
      </c>
      <c r="F233" s="86">
        <v>982</v>
      </c>
      <c r="G233" s="78">
        <v>982</v>
      </c>
    </row>
    <row r="234" spans="2:7" x14ac:dyDescent="0.2">
      <c r="B234" s="15"/>
      <c r="C234" s="16" t="s">
        <v>178</v>
      </c>
      <c r="D234" s="17" t="s">
        <v>107</v>
      </c>
      <c r="E234" s="18">
        <v>1</v>
      </c>
      <c r="F234" s="86">
        <v>940</v>
      </c>
      <c r="G234" s="78">
        <v>940</v>
      </c>
    </row>
    <row r="235" spans="2:7" x14ac:dyDescent="0.2">
      <c r="B235" s="15"/>
      <c r="C235" s="16" t="s">
        <v>179</v>
      </c>
      <c r="D235" s="17" t="s">
        <v>107</v>
      </c>
      <c r="E235" s="18">
        <v>1</v>
      </c>
      <c r="F235" s="86">
        <v>2735</v>
      </c>
      <c r="G235" s="78">
        <v>2735</v>
      </c>
    </row>
    <row r="236" spans="2:7" x14ac:dyDescent="0.2">
      <c r="B236" s="15"/>
      <c r="C236" s="16" t="s">
        <v>180</v>
      </c>
      <c r="D236" s="17" t="s">
        <v>107</v>
      </c>
      <c r="E236" s="18">
        <v>1</v>
      </c>
      <c r="F236" s="86">
        <v>2370</v>
      </c>
      <c r="G236" s="78">
        <v>2370</v>
      </c>
    </row>
    <row r="237" spans="2:7" x14ac:dyDescent="0.2">
      <c r="B237" s="15"/>
      <c r="C237" s="16" t="s">
        <v>181</v>
      </c>
      <c r="D237" s="17" t="s">
        <v>107</v>
      </c>
      <c r="E237" s="18">
        <v>1</v>
      </c>
      <c r="F237" s="86">
        <v>2177</v>
      </c>
      <c r="G237" s="78">
        <v>2177</v>
      </c>
    </row>
    <row r="238" spans="2:7" x14ac:dyDescent="0.2">
      <c r="B238" s="15"/>
      <c r="C238" s="16" t="s">
        <v>182</v>
      </c>
      <c r="D238" s="17" t="s">
        <v>107</v>
      </c>
      <c r="E238" s="18">
        <v>1</v>
      </c>
      <c r="F238" s="86">
        <v>1964</v>
      </c>
      <c r="G238" s="78">
        <v>1964</v>
      </c>
    </row>
    <row r="239" spans="2:7" x14ac:dyDescent="0.2">
      <c r="B239" s="15"/>
      <c r="C239" s="16" t="s">
        <v>183</v>
      </c>
      <c r="D239" s="17" t="s">
        <v>107</v>
      </c>
      <c r="E239" s="18">
        <v>1</v>
      </c>
      <c r="F239" s="86">
        <v>1880</v>
      </c>
      <c r="G239" s="78">
        <v>1880</v>
      </c>
    </row>
    <row r="240" spans="2:7" x14ac:dyDescent="0.2">
      <c r="B240" s="21"/>
      <c r="C240" s="22"/>
      <c r="D240" s="23"/>
      <c r="E240" s="24"/>
      <c r="F240" s="25"/>
      <c r="G240" s="26"/>
    </row>
    <row r="241" spans="2:7" ht="17" thickBot="1" x14ac:dyDescent="0.25">
      <c r="B241" s="27"/>
      <c r="C241" s="28"/>
      <c r="D241" s="29"/>
      <c r="E241" s="30"/>
      <c r="F241" s="31" t="s">
        <v>184</v>
      </c>
      <c r="G241" s="32">
        <v>16690</v>
      </c>
    </row>
    <row r="242" spans="2:7" ht="17" thickBot="1" x14ac:dyDescent="0.25">
      <c r="B242" s="4"/>
      <c r="C242" s="33"/>
      <c r="D242" s="34"/>
      <c r="E242" s="35"/>
      <c r="F242" s="4"/>
      <c r="G242" s="36"/>
    </row>
    <row r="243" spans="2:7" x14ac:dyDescent="0.2">
      <c r="B243" s="10">
        <v>24</v>
      </c>
      <c r="C243" s="11" t="s">
        <v>185</v>
      </c>
      <c r="D243" s="12"/>
      <c r="E243" s="12"/>
      <c r="F243" s="13"/>
      <c r="G243" s="14">
        <v>81726</v>
      </c>
    </row>
    <row r="244" spans="2:7" x14ac:dyDescent="0.2">
      <c r="B244" s="80"/>
      <c r="C244" s="81"/>
      <c r="D244" s="82"/>
      <c r="E244" s="83"/>
      <c r="F244" s="84"/>
      <c r="G244" s="85"/>
    </row>
    <row r="245" spans="2:7" x14ac:dyDescent="0.2">
      <c r="B245" s="87"/>
      <c r="C245" s="22" t="s">
        <v>186</v>
      </c>
      <c r="D245" s="23" t="s">
        <v>107</v>
      </c>
      <c r="E245" s="88">
        <v>1</v>
      </c>
      <c r="F245" s="25">
        <v>12274</v>
      </c>
      <c r="G245" s="26">
        <v>12274</v>
      </c>
    </row>
    <row r="246" spans="2:7" x14ac:dyDescent="0.2">
      <c r="B246" s="87" t="s">
        <v>142</v>
      </c>
      <c r="C246" s="22" t="s">
        <v>187</v>
      </c>
      <c r="D246" s="23" t="s">
        <v>107</v>
      </c>
      <c r="E246" s="88">
        <v>1</v>
      </c>
      <c r="F246" s="25">
        <v>10429</v>
      </c>
      <c r="G246" s="26">
        <v>10429</v>
      </c>
    </row>
    <row r="247" spans="2:7" x14ac:dyDescent="0.2">
      <c r="B247" s="87" t="s">
        <v>142</v>
      </c>
      <c r="C247" s="22" t="s">
        <v>188</v>
      </c>
      <c r="D247" s="23" t="s">
        <v>107</v>
      </c>
      <c r="E247" s="88">
        <v>1</v>
      </c>
      <c r="F247" s="25">
        <v>9427</v>
      </c>
      <c r="G247" s="26">
        <v>9427</v>
      </c>
    </row>
    <row r="248" spans="2:7" x14ac:dyDescent="0.2">
      <c r="B248" s="87" t="s">
        <v>142</v>
      </c>
      <c r="C248" s="22" t="s">
        <v>189</v>
      </c>
      <c r="D248" s="23" t="s">
        <v>107</v>
      </c>
      <c r="E248" s="88">
        <v>1</v>
      </c>
      <c r="F248" s="25">
        <v>8304</v>
      </c>
      <c r="G248" s="26">
        <v>8304</v>
      </c>
    </row>
    <row r="249" spans="2:7" x14ac:dyDescent="0.2">
      <c r="B249" s="87" t="s">
        <v>142</v>
      </c>
      <c r="C249" s="22" t="s">
        <v>190</v>
      </c>
      <c r="D249" s="23" t="s">
        <v>107</v>
      </c>
      <c r="E249" s="88">
        <v>1</v>
      </c>
      <c r="F249" s="25">
        <v>8674</v>
      </c>
      <c r="G249" s="26">
        <v>8674</v>
      </c>
    </row>
    <row r="250" spans="2:7" x14ac:dyDescent="0.2">
      <c r="B250" s="87" t="s">
        <v>142</v>
      </c>
      <c r="C250" s="22" t="s">
        <v>191</v>
      </c>
      <c r="D250" s="23" t="s">
        <v>107</v>
      </c>
      <c r="E250" s="88">
        <v>1</v>
      </c>
      <c r="F250" s="25">
        <v>7978</v>
      </c>
      <c r="G250" s="26">
        <v>7978</v>
      </c>
    </row>
    <row r="251" spans="2:7" x14ac:dyDescent="0.2">
      <c r="B251" s="87" t="s">
        <v>142</v>
      </c>
      <c r="C251" s="22" t="s">
        <v>192</v>
      </c>
      <c r="D251" s="23" t="s">
        <v>107</v>
      </c>
      <c r="E251" s="88">
        <v>1</v>
      </c>
      <c r="F251" s="25">
        <v>8036</v>
      </c>
      <c r="G251" s="26">
        <v>8036</v>
      </c>
    </row>
    <row r="252" spans="2:7" x14ac:dyDescent="0.2">
      <c r="B252" s="87" t="s">
        <v>142</v>
      </c>
      <c r="C252" s="22" t="s">
        <v>193</v>
      </c>
      <c r="D252" s="23" t="s">
        <v>107</v>
      </c>
      <c r="E252" s="88">
        <v>1</v>
      </c>
      <c r="F252" s="25">
        <v>6127</v>
      </c>
      <c r="G252" s="26">
        <v>6127</v>
      </c>
    </row>
    <row r="253" spans="2:7" x14ac:dyDescent="0.2">
      <c r="B253" s="87" t="s">
        <v>142</v>
      </c>
      <c r="C253" s="22" t="s">
        <v>194</v>
      </c>
      <c r="D253" s="23" t="s">
        <v>107</v>
      </c>
      <c r="E253" s="88">
        <v>1</v>
      </c>
      <c r="F253" s="25">
        <v>5398</v>
      </c>
      <c r="G253" s="26">
        <v>5398</v>
      </c>
    </row>
    <row r="254" spans="2:7" x14ac:dyDescent="0.2">
      <c r="B254" s="87" t="s">
        <v>142</v>
      </c>
      <c r="C254" s="22" t="s">
        <v>195</v>
      </c>
      <c r="D254" s="23" t="s">
        <v>107</v>
      </c>
      <c r="E254" s="88">
        <v>1</v>
      </c>
      <c r="F254" s="25">
        <v>5079</v>
      </c>
      <c r="G254" s="26">
        <v>5079</v>
      </c>
    </row>
    <row r="255" spans="2:7" x14ac:dyDescent="0.2">
      <c r="B255" s="21"/>
      <c r="C255" s="22"/>
      <c r="D255" s="23"/>
      <c r="E255" s="24"/>
      <c r="F255" s="25"/>
      <c r="G255" s="26"/>
    </row>
    <row r="256" spans="2:7" ht="17" thickBot="1" x14ac:dyDescent="0.25">
      <c r="B256" s="27"/>
      <c r="C256" s="28"/>
      <c r="D256" s="29"/>
      <c r="E256" s="30"/>
      <c r="F256" s="31" t="s">
        <v>196</v>
      </c>
      <c r="G256" s="32">
        <v>81726</v>
      </c>
    </row>
    <row r="257" spans="2:7" ht="17" thickBot="1" x14ac:dyDescent="0.25">
      <c r="B257" s="4"/>
      <c r="C257" s="33"/>
      <c r="D257" s="34"/>
      <c r="E257" s="35"/>
      <c r="F257" s="4"/>
      <c r="G257" s="36"/>
    </row>
    <row r="258" spans="2:7" x14ac:dyDescent="0.2">
      <c r="B258" s="10">
        <v>25</v>
      </c>
      <c r="C258" s="11" t="s">
        <v>197</v>
      </c>
      <c r="D258" s="12"/>
      <c r="E258" s="12"/>
      <c r="F258" s="13"/>
      <c r="G258" s="14">
        <v>650695</v>
      </c>
    </row>
    <row r="259" spans="2:7" x14ac:dyDescent="0.2">
      <c r="B259" s="80"/>
      <c r="C259" s="81"/>
      <c r="D259" s="82"/>
      <c r="E259" s="83"/>
      <c r="F259" s="84"/>
      <c r="G259" s="85"/>
    </row>
    <row r="260" spans="2:7" x14ac:dyDescent="0.2">
      <c r="B260" s="87"/>
      <c r="C260" s="22" t="s">
        <v>198</v>
      </c>
      <c r="D260" s="23" t="s">
        <v>107</v>
      </c>
      <c r="E260" s="88">
        <v>1</v>
      </c>
      <c r="F260" s="25">
        <v>15883</v>
      </c>
      <c r="G260" s="26">
        <v>15883</v>
      </c>
    </row>
    <row r="261" spans="2:7" x14ac:dyDescent="0.2">
      <c r="B261" s="87" t="s">
        <v>142</v>
      </c>
      <c r="C261" s="22" t="s">
        <v>199</v>
      </c>
      <c r="D261" s="23" t="s">
        <v>107</v>
      </c>
      <c r="E261" s="88">
        <v>1</v>
      </c>
      <c r="F261" s="25">
        <v>12358</v>
      </c>
      <c r="G261" s="26">
        <v>12358</v>
      </c>
    </row>
    <row r="262" spans="2:7" x14ac:dyDescent="0.2">
      <c r="B262" s="87" t="s">
        <v>142</v>
      </c>
      <c r="C262" s="22" t="s">
        <v>200</v>
      </c>
      <c r="D262" s="23" t="s">
        <v>107</v>
      </c>
      <c r="E262" s="88">
        <v>1</v>
      </c>
      <c r="F262" s="25">
        <v>10268</v>
      </c>
      <c r="G262" s="26">
        <v>10268</v>
      </c>
    </row>
    <row r="263" spans="2:7" x14ac:dyDescent="0.2">
      <c r="B263" s="87" t="s">
        <v>142</v>
      </c>
      <c r="C263" s="22" t="s">
        <v>201</v>
      </c>
      <c r="D263" s="23" t="s">
        <v>107</v>
      </c>
      <c r="E263" s="88">
        <v>1</v>
      </c>
      <c r="F263" s="25">
        <v>8475</v>
      </c>
      <c r="G263" s="26">
        <v>8475</v>
      </c>
    </row>
    <row r="264" spans="2:7" x14ac:dyDescent="0.2">
      <c r="B264" s="87" t="s">
        <v>142</v>
      </c>
      <c r="C264" s="22" t="s">
        <v>202</v>
      </c>
      <c r="D264" s="23" t="s">
        <v>107</v>
      </c>
      <c r="E264" s="88">
        <v>1</v>
      </c>
      <c r="F264" s="25">
        <v>7492</v>
      </c>
      <c r="G264" s="26">
        <v>7492</v>
      </c>
    </row>
    <row r="265" spans="2:7" x14ac:dyDescent="0.2">
      <c r="B265" s="87" t="s">
        <v>142</v>
      </c>
      <c r="C265" s="22" t="s">
        <v>203</v>
      </c>
      <c r="D265" s="23" t="s">
        <v>107</v>
      </c>
      <c r="E265" s="88">
        <v>1</v>
      </c>
      <c r="F265" s="25">
        <v>6626</v>
      </c>
      <c r="G265" s="26">
        <v>6626</v>
      </c>
    </row>
    <row r="266" spans="2:7" x14ac:dyDescent="0.2">
      <c r="B266" s="87" t="s">
        <v>142</v>
      </c>
      <c r="C266" s="22" t="s">
        <v>204</v>
      </c>
      <c r="D266" s="23" t="s">
        <v>107</v>
      </c>
      <c r="E266" s="88">
        <v>1</v>
      </c>
      <c r="F266" s="25">
        <v>19059</v>
      </c>
      <c r="G266" s="26">
        <v>19059</v>
      </c>
    </row>
    <row r="267" spans="2:7" x14ac:dyDescent="0.2">
      <c r="B267" s="87" t="s">
        <v>142</v>
      </c>
      <c r="C267" s="22" t="s">
        <v>205</v>
      </c>
      <c r="D267" s="23" t="s">
        <v>107</v>
      </c>
      <c r="E267" s="88">
        <v>1</v>
      </c>
      <c r="F267" s="25">
        <v>14539</v>
      </c>
      <c r="G267" s="26">
        <v>14539</v>
      </c>
    </row>
    <row r="268" spans="2:7" x14ac:dyDescent="0.2">
      <c r="B268" s="87" t="s">
        <v>142</v>
      </c>
      <c r="C268" s="22" t="s">
        <v>206</v>
      </c>
      <c r="D268" s="23" t="s">
        <v>107</v>
      </c>
      <c r="E268" s="88">
        <v>1</v>
      </c>
      <c r="F268" s="25">
        <v>11928</v>
      </c>
      <c r="G268" s="26">
        <v>11928</v>
      </c>
    </row>
    <row r="269" spans="2:7" x14ac:dyDescent="0.2">
      <c r="B269" s="87" t="s">
        <v>142</v>
      </c>
      <c r="C269" s="22" t="s">
        <v>207</v>
      </c>
      <c r="D269" s="23" t="s">
        <v>107</v>
      </c>
      <c r="E269" s="88">
        <v>1</v>
      </c>
      <c r="F269" s="25">
        <v>9711</v>
      </c>
      <c r="G269" s="26">
        <v>9711</v>
      </c>
    </row>
    <row r="270" spans="2:7" x14ac:dyDescent="0.2">
      <c r="B270" s="87" t="s">
        <v>142</v>
      </c>
      <c r="C270" s="22" t="s">
        <v>208</v>
      </c>
      <c r="D270" s="23" t="s">
        <v>107</v>
      </c>
      <c r="E270" s="88">
        <v>1</v>
      </c>
      <c r="F270" s="25">
        <v>8451</v>
      </c>
      <c r="G270" s="26">
        <v>8451</v>
      </c>
    </row>
    <row r="271" spans="2:7" x14ac:dyDescent="0.2">
      <c r="B271" s="87" t="s">
        <v>142</v>
      </c>
      <c r="C271" s="22" t="s">
        <v>209</v>
      </c>
      <c r="D271" s="23" t="s">
        <v>107</v>
      </c>
      <c r="E271" s="88">
        <v>1</v>
      </c>
      <c r="F271" s="25">
        <v>7421</v>
      </c>
      <c r="G271" s="26">
        <v>7421</v>
      </c>
    </row>
    <row r="272" spans="2:7" x14ac:dyDescent="0.2">
      <c r="B272" s="87" t="s">
        <v>142</v>
      </c>
      <c r="C272" s="22" t="s">
        <v>210</v>
      </c>
      <c r="D272" s="23" t="s">
        <v>107</v>
      </c>
      <c r="E272" s="88">
        <v>1</v>
      </c>
      <c r="F272" s="25">
        <v>23797</v>
      </c>
      <c r="G272" s="26">
        <v>23797</v>
      </c>
    </row>
    <row r="273" spans="2:7" x14ac:dyDescent="0.2">
      <c r="B273" s="87" t="s">
        <v>142</v>
      </c>
      <c r="C273" s="22" t="s">
        <v>211</v>
      </c>
      <c r="D273" s="23" t="s">
        <v>107</v>
      </c>
      <c r="E273" s="88">
        <v>1</v>
      </c>
      <c r="F273" s="25">
        <v>17655</v>
      </c>
      <c r="G273" s="26">
        <v>17655</v>
      </c>
    </row>
    <row r="274" spans="2:7" x14ac:dyDescent="0.2">
      <c r="B274" s="87" t="s">
        <v>142</v>
      </c>
      <c r="C274" s="22" t="s">
        <v>212</v>
      </c>
      <c r="D274" s="23" t="s">
        <v>107</v>
      </c>
      <c r="E274" s="88">
        <v>1</v>
      </c>
      <c r="F274" s="25">
        <v>14165</v>
      </c>
      <c r="G274" s="26">
        <v>14165</v>
      </c>
    </row>
    <row r="275" spans="2:7" x14ac:dyDescent="0.2">
      <c r="B275" s="87" t="s">
        <v>142</v>
      </c>
      <c r="C275" s="22" t="s">
        <v>213</v>
      </c>
      <c r="D275" s="23" t="s">
        <v>107</v>
      </c>
      <c r="E275" s="88">
        <v>1</v>
      </c>
      <c r="F275" s="25">
        <v>11329</v>
      </c>
      <c r="G275" s="26">
        <v>11329</v>
      </c>
    </row>
    <row r="276" spans="2:7" x14ac:dyDescent="0.2">
      <c r="B276" s="87" t="s">
        <v>142</v>
      </c>
      <c r="C276" s="22" t="s">
        <v>214</v>
      </c>
      <c r="D276" s="23" t="s">
        <v>107</v>
      </c>
      <c r="E276" s="88">
        <v>1</v>
      </c>
      <c r="F276" s="25">
        <v>10252</v>
      </c>
      <c r="G276" s="26">
        <v>10252</v>
      </c>
    </row>
    <row r="277" spans="2:7" x14ac:dyDescent="0.2">
      <c r="B277" s="87" t="s">
        <v>142</v>
      </c>
      <c r="C277" s="22" t="s">
        <v>215</v>
      </c>
      <c r="D277" s="23" t="s">
        <v>107</v>
      </c>
      <c r="E277" s="88">
        <v>1</v>
      </c>
      <c r="F277" s="25">
        <v>9276</v>
      </c>
      <c r="G277" s="26">
        <v>9276</v>
      </c>
    </row>
    <row r="278" spans="2:7" x14ac:dyDescent="0.2">
      <c r="B278" s="87" t="s">
        <v>142</v>
      </c>
      <c r="C278" s="22" t="s">
        <v>216</v>
      </c>
      <c r="D278" s="23" t="s">
        <v>107</v>
      </c>
      <c r="E278" s="88">
        <v>1</v>
      </c>
      <c r="F278" s="25">
        <v>53879</v>
      </c>
      <c r="G278" s="26">
        <v>53879</v>
      </c>
    </row>
    <row r="279" spans="2:7" x14ac:dyDescent="0.2">
      <c r="B279" s="87" t="s">
        <v>142</v>
      </c>
      <c r="C279" s="22" t="s">
        <v>217</v>
      </c>
      <c r="D279" s="23" t="s">
        <v>107</v>
      </c>
      <c r="E279" s="88">
        <v>1</v>
      </c>
      <c r="F279" s="25">
        <v>39865</v>
      </c>
      <c r="G279" s="26">
        <v>39865</v>
      </c>
    </row>
    <row r="280" spans="2:7" x14ac:dyDescent="0.2">
      <c r="B280" s="87" t="s">
        <v>142</v>
      </c>
      <c r="C280" s="22" t="s">
        <v>218</v>
      </c>
      <c r="D280" s="23" t="s">
        <v>107</v>
      </c>
      <c r="E280" s="88">
        <v>1</v>
      </c>
      <c r="F280" s="25">
        <v>31914</v>
      </c>
      <c r="G280" s="26">
        <v>31914</v>
      </c>
    </row>
    <row r="281" spans="2:7" x14ac:dyDescent="0.2">
      <c r="B281" s="87" t="s">
        <v>142</v>
      </c>
      <c r="C281" s="22" t="s">
        <v>219</v>
      </c>
      <c r="D281" s="23" t="s">
        <v>107</v>
      </c>
      <c r="E281" s="88">
        <v>1</v>
      </c>
      <c r="F281" s="25">
        <v>25425</v>
      </c>
      <c r="G281" s="26">
        <v>25425</v>
      </c>
    </row>
    <row r="282" spans="2:7" x14ac:dyDescent="0.2">
      <c r="B282" s="87" t="s">
        <v>142</v>
      </c>
      <c r="C282" s="22" t="s">
        <v>220</v>
      </c>
      <c r="D282" s="23" t="s">
        <v>107</v>
      </c>
      <c r="E282" s="88">
        <v>1</v>
      </c>
      <c r="F282" s="25">
        <v>23189</v>
      </c>
      <c r="G282" s="26">
        <v>23189</v>
      </c>
    </row>
    <row r="283" spans="2:7" x14ac:dyDescent="0.2">
      <c r="B283" s="87" t="s">
        <v>142</v>
      </c>
      <c r="C283" s="22" t="s">
        <v>221</v>
      </c>
      <c r="D283" s="23" t="s">
        <v>107</v>
      </c>
      <c r="E283" s="88">
        <v>1</v>
      </c>
      <c r="F283" s="25">
        <v>6419</v>
      </c>
      <c r="G283" s="26">
        <v>6419</v>
      </c>
    </row>
    <row r="284" spans="2:7" ht="28" x14ac:dyDescent="0.2">
      <c r="B284" s="87" t="s">
        <v>142</v>
      </c>
      <c r="C284" s="22" t="s">
        <v>222</v>
      </c>
      <c r="D284" s="23" t="s">
        <v>107</v>
      </c>
      <c r="E284" s="88">
        <v>1</v>
      </c>
      <c r="F284" s="25">
        <v>2279</v>
      </c>
      <c r="G284" s="26">
        <v>2279</v>
      </c>
    </row>
    <row r="285" spans="2:7" ht="28" x14ac:dyDescent="0.2">
      <c r="B285" s="87" t="s">
        <v>142</v>
      </c>
      <c r="C285" s="22" t="s">
        <v>223</v>
      </c>
      <c r="D285" s="23" t="s">
        <v>107</v>
      </c>
      <c r="E285" s="88">
        <v>1</v>
      </c>
      <c r="F285" s="25">
        <v>1580</v>
      </c>
      <c r="G285" s="26">
        <v>1580</v>
      </c>
    </row>
    <row r="286" spans="2:7" ht="28" x14ac:dyDescent="0.2">
      <c r="B286" s="87" t="s">
        <v>142</v>
      </c>
      <c r="C286" s="22" t="s">
        <v>224</v>
      </c>
      <c r="D286" s="23" t="s">
        <v>107</v>
      </c>
      <c r="E286" s="88">
        <v>1</v>
      </c>
      <c r="F286" s="25">
        <v>1877</v>
      </c>
      <c r="G286" s="26">
        <v>1877</v>
      </c>
    </row>
    <row r="287" spans="2:7" ht="28" x14ac:dyDescent="0.2">
      <c r="B287" s="87" t="s">
        <v>142</v>
      </c>
      <c r="C287" s="22" t="s">
        <v>225</v>
      </c>
      <c r="D287" s="23" t="s">
        <v>107</v>
      </c>
      <c r="E287" s="88">
        <v>1</v>
      </c>
      <c r="F287" s="25">
        <v>982</v>
      </c>
      <c r="G287" s="26">
        <v>982</v>
      </c>
    </row>
    <row r="288" spans="2:7" ht="28" x14ac:dyDescent="0.2">
      <c r="B288" s="87" t="s">
        <v>142</v>
      </c>
      <c r="C288" s="22" t="s">
        <v>226</v>
      </c>
      <c r="D288" s="23" t="s">
        <v>107</v>
      </c>
      <c r="E288" s="88">
        <v>1</v>
      </c>
      <c r="F288" s="25">
        <v>895</v>
      </c>
      <c r="G288" s="26">
        <v>895</v>
      </c>
    </row>
    <row r="289" spans="2:7" ht="28" x14ac:dyDescent="0.2">
      <c r="B289" s="87" t="s">
        <v>142</v>
      </c>
      <c r="C289" s="22" t="s">
        <v>227</v>
      </c>
      <c r="D289" s="23" t="s">
        <v>107</v>
      </c>
      <c r="E289" s="88">
        <v>1</v>
      </c>
      <c r="F289" s="25">
        <v>773</v>
      </c>
      <c r="G289" s="26">
        <v>773</v>
      </c>
    </row>
    <row r="290" spans="2:7" x14ac:dyDescent="0.2">
      <c r="B290" s="87" t="s">
        <v>142</v>
      </c>
      <c r="C290" s="22" t="s">
        <v>228</v>
      </c>
      <c r="D290" s="23" t="s">
        <v>107</v>
      </c>
      <c r="E290" s="88">
        <v>1</v>
      </c>
      <c r="F290" s="25">
        <v>13676</v>
      </c>
      <c r="G290" s="26">
        <v>13676</v>
      </c>
    </row>
    <row r="291" spans="2:7" x14ac:dyDescent="0.2">
      <c r="B291" s="87" t="s">
        <v>142</v>
      </c>
      <c r="C291" s="22" t="s">
        <v>229</v>
      </c>
      <c r="D291" s="23" t="s">
        <v>107</v>
      </c>
      <c r="E291" s="88">
        <v>1</v>
      </c>
      <c r="F291" s="25">
        <v>9873</v>
      </c>
      <c r="G291" s="26">
        <v>9873</v>
      </c>
    </row>
    <row r="292" spans="2:7" x14ac:dyDescent="0.2">
      <c r="B292" s="87" t="s">
        <v>142</v>
      </c>
      <c r="C292" s="22" t="s">
        <v>230</v>
      </c>
      <c r="D292" s="23" t="s">
        <v>107</v>
      </c>
      <c r="E292" s="88">
        <v>1</v>
      </c>
      <c r="F292" s="25">
        <v>7776</v>
      </c>
      <c r="G292" s="26">
        <v>7776</v>
      </c>
    </row>
    <row r="293" spans="2:7" x14ac:dyDescent="0.2">
      <c r="B293" s="87" t="s">
        <v>142</v>
      </c>
      <c r="C293" s="22" t="s">
        <v>231</v>
      </c>
      <c r="D293" s="23" t="s">
        <v>107</v>
      </c>
      <c r="E293" s="88">
        <v>1</v>
      </c>
      <c r="F293" s="25">
        <v>6546</v>
      </c>
      <c r="G293" s="26">
        <v>6546</v>
      </c>
    </row>
    <row r="294" spans="2:7" x14ac:dyDescent="0.2">
      <c r="B294" s="87" t="s">
        <v>142</v>
      </c>
      <c r="C294" s="22" t="s">
        <v>232</v>
      </c>
      <c r="D294" s="23" t="s">
        <v>107</v>
      </c>
      <c r="E294" s="88">
        <v>1</v>
      </c>
      <c r="F294" s="25">
        <v>8218</v>
      </c>
      <c r="G294" s="26">
        <v>8218</v>
      </c>
    </row>
    <row r="295" spans="2:7" x14ac:dyDescent="0.2">
      <c r="B295" s="87" t="s">
        <v>142</v>
      </c>
      <c r="C295" s="22" t="s">
        <v>233</v>
      </c>
      <c r="D295" s="23" t="s">
        <v>107</v>
      </c>
      <c r="E295" s="88">
        <v>1</v>
      </c>
      <c r="F295" s="25">
        <v>5797</v>
      </c>
      <c r="G295" s="26">
        <v>5797</v>
      </c>
    </row>
    <row r="296" spans="2:7" x14ac:dyDescent="0.2">
      <c r="B296" s="87" t="s">
        <v>142</v>
      </c>
      <c r="C296" s="22" t="s">
        <v>234</v>
      </c>
      <c r="D296" s="23" t="s">
        <v>107</v>
      </c>
      <c r="E296" s="88">
        <v>1</v>
      </c>
      <c r="F296" s="25">
        <v>22794</v>
      </c>
      <c r="G296" s="26">
        <v>22794</v>
      </c>
    </row>
    <row r="297" spans="2:7" x14ac:dyDescent="0.2">
      <c r="B297" s="87" t="s">
        <v>142</v>
      </c>
      <c r="C297" s="22" t="s">
        <v>235</v>
      </c>
      <c r="D297" s="23" t="s">
        <v>107</v>
      </c>
      <c r="E297" s="88">
        <v>1</v>
      </c>
      <c r="F297" s="25">
        <v>16926</v>
      </c>
      <c r="G297" s="26">
        <v>16926</v>
      </c>
    </row>
    <row r="298" spans="2:7" x14ac:dyDescent="0.2">
      <c r="B298" s="87" t="s">
        <v>142</v>
      </c>
      <c r="C298" s="22" t="s">
        <v>236</v>
      </c>
      <c r="D298" s="23" t="s">
        <v>107</v>
      </c>
      <c r="E298" s="88">
        <v>1</v>
      </c>
      <c r="F298" s="25">
        <v>13609</v>
      </c>
      <c r="G298" s="26">
        <v>13609</v>
      </c>
    </row>
    <row r="299" spans="2:7" x14ac:dyDescent="0.2">
      <c r="B299" s="87" t="s">
        <v>142</v>
      </c>
      <c r="C299" s="22" t="s">
        <v>237</v>
      </c>
      <c r="D299" s="23" t="s">
        <v>107</v>
      </c>
      <c r="E299" s="88">
        <v>1</v>
      </c>
      <c r="F299" s="25">
        <v>12096</v>
      </c>
      <c r="G299" s="26">
        <v>12096</v>
      </c>
    </row>
    <row r="300" spans="2:7" x14ac:dyDescent="0.2">
      <c r="B300" s="87" t="s">
        <v>142</v>
      </c>
      <c r="C300" s="22" t="s">
        <v>238</v>
      </c>
      <c r="D300" s="23" t="s">
        <v>107</v>
      </c>
      <c r="E300" s="88">
        <v>1</v>
      </c>
      <c r="F300" s="25">
        <v>11460</v>
      </c>
      <c r="G300" s="26">
        <v>11460</v>
      </c>
    </row>
    <row r="301" spans="2:7" x14ac:dyDescent="0.2">
      <c r="B301" s="87" t="s">
        <v>142</v>
      </c>
      <c r="C301" s="22" t="s">
        <v>239</v>
      </c>
      <c r="D301" s="23" t="s">
        <v>107</v>
      </c>
      <c r="E301" s="88">
        <v>1</v>
      </c>
      <c r="F301" s="25">
        <v>9276</v>
      </c>
      <c r="G301" s="26">
        <v>9276</v>
      </c>
    </row>
    <row r="302" spans="2:7" x14ac:dyDescent="0.2">
      <c r="B302" s="87" t="s">
        <v>142</v>
      </c>
      <c r="C302" s="22" t="s">
        <v>240</v>
      </c>
      <c r="D302" s="23" t="s">
        <v>107</v>
      </c>
      <c r="E302" s="88">
        <v>1</v>
      </c>
      <c r="F302" s="25">
        <v>21040</v>
      </c>
      <c r="G302" s="26">
        <v>21040</v>
      </c>
    </row>
    <row r="303" spans="2:7" x14ac:dyDescent="0.2">
      <c r="B303" s="87" t="s">
        <v>142</v>
      </c>
      <c r="C303" s="22" t="s">
        <v>241</v>
      </c>
      <c r="D303" s="23" t="s">
        <v>107</v>
      </c>
      <c r="E303" s="88">
        <v>1</v>
      </c>
      <c r="F303" s="25">
        <v>15798</v>
      </c>
      <c r="G303" s="26">
        <v>15798</v>
      </c>
    </row>
    <row r="304" spans="2:7" x14ac:dyDescent="0.2">
      <c r="B304" s="87" t="s">
        <v>142</v>
      </c>
      <c r="C304" s="22" t="s">
        <v>242</v>
      </c>
      <c r="D304" s="23" t="s">
        <v>107</v>
      </c>
      <c r="E304" s="88">
        <v>1</v>
      </c>
      <c r="F304" s="25">
        <v>12808</v>
      </c>
      <c r="G304" s="26">
        <v>12808</v>
      </c>
    </row>
    <row r="305" spans="2:7" x14ac:dyDescent="0.2">
      <c r="B305" s="87" t="s">
        <v>142</v>
      </c>
      <c r="C305" s="22" t="s">
        <v>243</v>
      </c>
      <c r="D305" s="23" t="s">
        <v>107</v>
      </c>
      <c r="E305" s="88">
        <v>1</v>
      </c>
      <c r="F305" s="25">
        <v>8186</v>
      </c>
      <c r="G305" s="26">
        <v>8186</v>
      </c>
    </row>
    <row r="306" spans="2:7" x14ac:dyDescent="0.2">
      <c r="B306" s="87" t="s">
        <v>142</v>
      </c>
      <c r="C306" s="22" t="s">
        <v>244</v>
      </c>
      <c r="D306" s="23" t="s">
        <v>107</v>
      </c>
      <c r="E306" s="88">
        <v>1</v>
      </c>
      <c r="F306" s="25">
        <v>6048</v>
      </c>
      <c r="G306" s="26">
        <v>6048</v>
      </c>
    </row>
    <row r="307" spans="2:7" x14ac:dyDescent="0.2">
      <c r="B307" s="87" t="s">
        <v>142</v>
      </c>
      <c r="C307" s="22" t="s">
        <v>245</v>
      </c>
      <c r="D307" s="23" t="s">
        <v>107</v>
      </c>
      <c r="E307" s="88">
        <v>1</v>
      </c>
      <c r="F307" s="25">
        <v>8834</v>
      </c>
      <c r="G307" s="26">
        <v>8834</v>
      </c>
    </row>
    <row r="308" spans="2:7" x14ac:dyDescent="0.2">
      <c r="B308" s="87" t="s">
        <v>142</v>
      </c>
      <c r="C308" s="22" t="s">
        <v>246</v>
      </c>
      <c r="D308" s="23" t="s">
        <v>107</v>
      </c>
      <c r="E308" s="88">
        <v>1</v>
      </c>
      <c r="F308" s="25">
        <v>7198</v>
      </c>
      <c r="G308" s="26">
        <v>7198</v>
      </c>
    </row>
    <row r="309" spans="2:7" x14ac:dyDescent="0.2">
      <c r="B309" s="87" t="s">
        <v>142</v>
      </c>
      <c r="C309" s="22" t="s">
        <v>247</v>
      </c>
      <c r="D309" s="23" t="s">
        <v>107</v>
      </c>
      <c r="E309" s="88">
        <v>1</v>
      </c>
      <c r="F309" s="25">
        <v>5924</v>
      </c>
      <c r="G309" s="26">
        <v>5924</v>
      </c>
    </row>
    <row r="310" spans="2:7" x14ac:dyDescent="0.2">
      <c r="B310" s="87" t="s">
        <v>142</v>
      </c>
      <c r="C310" s="22" t="s">
        <v>248</v>
      </c>
      <c r="D310" s="23" t="s">
        <v>107</v>
      </c>
      <c r="E310" s="88">
        <v>1</v>
      </c>
      <c r="F310" s="25">
        <v>5184</v>
      </c>
      <c r="G310" s="26">
        <v>5184</v>
      </c>
    </row>
    <row r="311" spans="2:7" x14ac:dyDescent="0.2">
      <c r="B311" s="87" t="s">
        <v>142</v>
      </c>
      <c r="C311" s="22" t="s">
        <v>249</v>
      </c>
      <c r="D311" s="23" t="s">
        <v>107</v>
      </c>
      <c r="E311" s="88">
        <v>1</v>
      </c>
      <c r="F311" s="25">
        <v>4463</v>
      </c>
      <c r="G311" s="26">
        <v>4463</v>
      </c>
    </row>
    <row r="312" spans="2:7" x14ac:dyDescent="0.2">
      <c r="B312" s="87" t="s">
        <v>142</v>
      </c>
      <c r="C312" s="22" t="s">
        <v>250</v>
      </c>
      <c r="D312" s="23" t="s">
        <v>107</v>
      </c>
      <c r="E312" s="88">
        <v>1</v>
      </c>
      <c r="F312" s="25">
        <v>5538</v>
      </c>
      <c r="G312" s="26">
        <v>5538</v>
      </c>
    </row>
    <row r="313" spans="2:7" x14ac:dyDescent="0.2">
      <c r="B313" s="87" t="s">
        <v>142</v>
      </c>
      <c r="C313" s="22" t="s">
        <v>251</v>
      </c>
      <c r="D313" s="23" t="s">
        <v>107</v>
      </c>
      <c r="E313" s="88">
        <v>1</v>
      </c>
      <c r="F313" s="25">
        <v>3865</v>
      </c>
      <c r="G313" s="26">
        <v>3865</v>
      </c>
    </row>
    <row r="314" spans="2:7" x14ac:dyDescent="0.2">
      <c r="B314" s="21"/>
      <c r="C314" s="22"/>
      <c r="D314" s="23"/>
      <c r="E314" s="24"/>
      <c r="F314" s="25"/>
      <c r="G314" s="26"/>
    </row>
    <row r="315" spans="2:7" ht="17" thickBot="1" x14ac:dyDescent="0.25">
      <c r="B315" s="27"/>
      <c r="C315" s="28"/>
      <c r="D315" s="29"/>
      <c r="E315" s="30"/>
      <c r="F315" s="31" t="s">
        <v>252</v>
      </c>
      <c r="G315" s="32">
        <v>650695</v>
      </c>
    </row>
    <row r="316" spans="2:7" ht="17" thickBot="1" x14ac:dyDescent="0.25">
      <c r="B316" s="4"/>
      <c r="C316" s="33"/>
      <c r="D316" s="34"/>
      <c r="E316" s="35"/>
      <c r="F316" s="4"/>
      <c r="G316" s="36"/>
    </row>
    <row r="317" spans="2:7" x14ac:dyDescent="0.2">
      <c r="B317" s="10">
        <v>26</v>
      </c>
      <c r="C317" s="11" t="s">
        <v>253</v>
      </c>
      <c r="D317" s="12"/>
      <c r="E317" s="12"/>
      <c r="F317" s="13"/>
      <c r="G317" s="14">
        <v>5923521</v>
      </c>
    </row>
    <row r="318" spans="2:7" x14ac:dyDescent="0.2">
      <c r="B318" s="80"/>
      <c r="C318" s="81"/>
      <c r="D318" s="82"/>
      <c r="E318" s="83"/>
      <c r="F318" s="84"/>
      <c r="G318" s="85"/>
    </row>
    <row r="319" spans="2:7" x14ac:dyDescent="0.2">
      <c r="B319" s="87"/>
      <c r="C319" s="22" t="s">
        <v>254</v>
      </c>
      <c r="D319" s="23" t="s">
        <v>140</v>
      </c>
      <c r="E319" s="88">
        <v>1</v>
      </c>
      <c r="F319" s="25">
        <v>820579</v>
      </c>
      <c r="G319" s="26">
        <v>820579</v>
      </c>
    </row>
    <row r="320" spans="2:7" x14ac:dyDescent="0.2">
      <c r="B320" s="87" t="s">
        <v>142</v>
      </c>
      <c r="C320" s="22" t="s">
        <v>255</v>
      </c>
      <c r="D320" s="23" t="s">
        <v>140</v>
      </c>
      <c r="E320" s="88">
        <v>1</v>
      </c>
      <c r="F320" s="25">
        <v>947855</v>
      </c>
      <c r="G320" s="26">
        <v>947855</v>
      </c>
    </row>
    <row r="321" spans="2:7" x14ac:dyDescent="0.2">
      <c r="B321" s="87" t="s">
        <v>142</v>
      </c>
      <c r="C321" s="22" t="s">
        <v>256</v>
      </c>
      <c r="D321" s="23" t="s">
        <v>140</v>
      </c>
      <c r="E321" s="88">
        <v>1</v>
      </c>
      <c r="F321" s="25">
        <v>1088684</v>
      </c>
      <c r="G321" s="26">
        <v>1088684</v>
      </c>
    </row>
    <row r="322" spans="2:7" x14ac:dyDescent="0.2">
      <c r="B322" s="87" t="s">
        <v>142</v>
      </c>
      <c r="C322" s="22" t="s">
        <v>257</v>
      </c>
      <c r="D322" s="23" t="s">
        <v>140</v>
      </c>
      <c r="E322" s="88">
        <v>1</v>
      </c>
      <c r="F322" s="25">
        <v>1374611</v>
      </c>
      <c r="G322" s="26">
        <v>1374611</v>
      </c>
    </row>
    <row r="323" spans="2:7" x14ac:dyDescent="0.2">
      <c r="B323" s="87" t="s">
        <v>142</v>
      </c>
      <c r="C323" s="22" t="s">
        <v>258</v>
      </c>
      <c r="D323" s="23" t="s">
        <v>140</v>
      </c>
      <c r="E323" s="88">
        <v>1</v>
      </c>
      <c r="F323" s="25">
        <v>1691792</v>
      </c>
      <c r="G323" s="26">
        <v>1691792</v>
      </c>
    </row>
    <row r="324" spans="2:7" x14ac:dyDescent="0.2">
      <c r="B324" s="21"/>
      <c r="C324" s="22"/>
      <c r="D324" s="23"/>
      <c r="E324" s="24"/>
      <c r="F324" s="25"/>
      <c r="G324" s="26"/>
    </row>
    <row r="325" spans="2:7" ht="17" thickBot="1" x14ac:dyDescent="0.25">
      <c r="B325" s="27"/>
      <c r="C325" s="28"/>
      <c r="D325" s="29"/>
      <c r="E325" s="30"/>
      <c r="F325" s="31" t="s">
        <v>259</v>
      </c>
      <c r="G325" s="32">
        <v>5923521</v>
      </c>
    </row>
    <row r="326" spans="2:7" ht="17" thickBot="1" x14ac:dyDescent="0.25">
      <c r="B326" s="4"/>
      <c r="C326" s="33"/>
      <c r="D326" s="34"/>
      <c r="E326" s="35"/>
      <c r="F326" s="4"/>
      <c r="G326" s="36"/>
    </row>
    <row r="327" spans="2:7" x14ac:dyDescent="0.2">
      <c r="B327" s="10">
        <v>27</v>
      </c>
      <c r="C327" s="11" t="s">
        <v>260</v>
      </c>
      <c r="D327" s="12"/>
      <c r="E327" s="12"/>
      <c r="F327" s="13"/>
      <c r="G327" s="14">
        <v>0</v>
      </c>
    </row>
    <row r="328" spans="2:7" x14ac:dyDescent="0.2">
      <c r="B328" s="80"/>
      <c r="C328" s="81"/>
      <c r="D328" s="82"/>
      <c r="E328" s="83"/>
      <c r="F328" s="84"/>
      <c r="G328" s="85"/>
    </row>
    <row r="329" spans="2:7" x14ac:dyDescent="0.2">
      <c r="B329" s="21"/>
      <c r="C329" s="22"/>
      <c r="D329" s="23"/>
      <c r="E329" s="24"/>
      <c r="F329" s="25"/>
      <c r="G329" s="26"/>
    </row>
    <row r="330" spans="2:7" ht="17" thickBot="1" x14ac:dyDescent="0.25">
      <c r="B330" s="27"/>
      <c r="C330" s="28"/>
      <c r="D330" s="29"/>
      <c r="E330" s="30"/>
      <c r="F330" s="31" t="s">
        <v>261</v>
      </c>
      <c r="G330" s="32">
        <v>0</v>
      </c>
    </row>
    <row r="331" spans="2:7" ht="17" thickBot="1" x14ac:dyDescent="0.25">
      <c r="B331" s="4"/>
      <c r="C331" s="33"/>
      <c r="D331" s="34"/>
      <c r="E331" s="35"/>
      <c r="F331" s="4"/>
      <c r="G331" s="36"/>
    </row>
    <row r="332" spans="2:7" x14ac:dyDescent="0.2">
      <c r="B332" s="10">
        <v>18</v>
      </c>
      <c r="C332" s="11" t="s">
        <v>262</v>
      </c>
      <c r="D332" s="12"/>
      <c r="E332" s="12"/>
      <c r="F332" s="13"/>
      <c r="G332" s="14">
        <v>149182</v>
      </c>
    </row>
    <row r="333" spans="2:7" x14ac:dyDescent="0.2">
      <c r="B333" s="80"/>
      <c r="C333" s="81"/>
      <c r="D333" s="82"/>
      <c r="E333" s="83"/>
      <c r="F333" s="84"/>
      <c r="G333" s="85"/>
    </row>
    <row r="334" spans="2:7" x14ac:dyDescent="0.2">
      <c r="B334" s="87"/>
      <c r="C334" s="22" t="s">
        <v>263</v>
      </c>
      <c r="D334" s="23" t="s">
        <v>2</v>
      </c>
      <c r="E334" s="88">
        <v>1</v>
      </c>
      <c r="F334" s="25">
        <v>7606</v>
      </c>
      <c r="G334" s="26">
        <v>7606</v>
      </c>
    </row>
    <row r="335" spans="2:7" x14ac:dyDescent="0.2">
      <c r="B335" s="87"/>
      <c r="C335" s="22" t="s">
        <v>264</v>
      </c>
      <c r="D335" s="23" t="s">
        <v>2</v>
      </c>
      <c r="E335" s="88">
        <v>1</v>
      </c>
      <c r="F335" s="25">
        <v>10258</v>
      </c>
      <c r="G335" s="26">
        <v>10258</v>
      </c>
    </row>
    <row r="336" spans="2:7" x14ac:dyDescent="0.2">
      <c r="B336" s="87"/>
      <c r="C336" s="22" t="s">
        <v>265</v>
      </c>
      <c r="D336" s="23" t="s">
        <v>2</v>
      </c>
      <c r="E336" s="88">
        <v>1</v>
      </c>
      <c r="F336" s="25">
        <v>2</v>
      </c>
      <c r="G336" s="26">
        <v>2</v>
      </c>
    </row>
    <row r="337" spans="2:7" x14ac:dyDescent="0.2">
      <c r="B337" s="87"/>
      <c r="C337" s="22" t="s">
        <v>266</v>
      </c>
      <c r="D337" s="23" t="s">
        <v>2</v>
      </c>
      <c r="E337" s="88">
        <v>1</v>
      </c>
      <c r="F337" s="25">
        <v>9</v>
      </c>
      <c r="G337" s="26">
        <v>9</v>
      </c>
    </row>
    <row r="338" spans="2:7" x14ac:dyDescent="0.2">
      <c r="B338" s="87"/>
      <c r="C338" s="22" t="s">
        <v>267</v>
      </c>
      <c r="D338" s="23" t="s">
        <v>2</v>
      </c>
      <c r="E338" s="88">
        <v>1</v>
      </c>
      <c r="F338" s="25">
        <v>3</v>
      </c>
      <c r="G338" s="26">
        <v>3</v>
      </c>
    </row>
    <row r="339" spans="2:7" x14ac:dyDescent="0.2">
      <c r="B339" s="87"/>
      <c r="C339" s="22" t="s">
        <v>268</v>
      </c>
      <c r="D339" s="23" t="s">
        <v>2</v>
      </c>
      <c r="E339" s="88">
        <v>1</v>
      </c>
      <c r="F339" s="25">
        <v>4</v>
      </c>
      <c r="G339" s="26">
        <v>4</v>
      </c>
    </row>
    <row r="340" spans="2:7" x14ac:dyDescent="0.2">
      <c r="B340" s="87"/>
      <c r="C340" s="22" t="s">
        <v>269</v>
      </c>
      <c r="D340" s="23" t="s">
        <v>2</v>
      </c>
      <c r="E340" s="88">
        <v>1</v>
      </c>
      <c r="F340" s="25">
        <v>4</v>
      </c>
      <c r="G340" s="26">
        <v>4</v>
      </c>
    </row>
    <row r="341" spans="2:7" x14ac:dyDescent="0.2">
      <c r="B341" s="87"/>
      <c r="C341" s="22" t="s">
        <v>270</v>
      </c>
      <c r="D341" s="23" t="s">
        <v>2</v>
      </c>
      <c r="E341" s="88">
        <v>1</v>
      </c>
      <c r="F341" s="25">
        <v>1</v>
      </c>
      <c r="G341" s="26">
        <v>1</v>
      </c>
    </row>
    <row r="342" spans="2:7" x14ac:dyDescent="0.2">
      <c r="B342" s="87"/>
      <c r="C342" s="22" t="s">
        <v>271</v>
      </c>
      <c r="D342" s="23" t="s">
        <v>2</v>
      </c>
      <c r="E342" s="88">
        <v>1</v>
      </c>
      <c r="F342" s="25">
        <v>7600</v>
      </c>
      <c r="G342" s="26">
        <v>7600</v>
      </c>
    </row>
    <row r="343" spans="2:7" x14ac:dyDescent="0.2">
      <c r="B343" s="87"/>
      <c r="C343" s="22" t="s">
        <v>272</v>
      </c>
      <c r="D343" s="23" t="s">
        <v>2</v>
      </c>
      <c r="E343" s="88">
        <v>1</v>
      </c>
      <c r="F343" s="25">
        <v>23</v>
      </c>
      <c r="G343" s="26">
        <v>23</v>
      </c>
    </row>
    <row r="344" spans="2:7" x14ac:dyDescent="0.2">
      <c r="B344" s="87"/>
      <c r="C344" s="22" t="s">
        <v>273</v>
      </c>
      <c r="D344" s="23" t="s">
        <v>2</v>
      </c>
      <c r="E344" s="88">
        <v>1</v>
      </c>
      <c r="F344" s="25">
        <v>2</v>
      </c>
      <c r="G344" s="26">
        <v>2</v>
      </c>
    </row>
    <row r="345" spans="2:7" x14ac:dyDescent="0.2">
      <c r="B345" s="87"/>
      <c r="C345" s="22" t="s">
        <v>274</v>
      </c>
      <c r="D345" s="23" t="s">
        <v>2</v>
      </c>
      <c r="E345" s="88">
        <v>1</v>
      </c>
      <c r="F345" s="25">
        <v>15721</v>
      </c>
      <c r="G345" s="26">
        <v>15721</v>
      </c>
    </row>
    <row r="346" spans="2:7" x14ac:dyDescent="0.2">
      <c r="B346" s="87"/>
      <c r="C346" s="22" t="s">
        <v>275</v>
      </c>
      <c r="D346" s="23" t="s">
        <v>2</v>
      </c>
      <c r="E346" s="88">
        <v>1</v>
      </c>
      <c r="F346" s="25">
        <v>10481</v>
      </c>
      <c r="G346" s="26">
        <v>10481</v>
      </c>
    </row>
    <row r="347" spans="2:7" x14ac:dyDescent="0.2">
      <c r="B347" s="87"/>
      <c r="C347" s="22" t="s">
        <v>276</v>
      </c>
      <c r="D347" s="23" t="s">
        <v>2</v>
      </c>
      <c r="E347" s="88">
        <v>1</v>
      </c>
      <c r="F347" s="25">
        <v>9397</v>
      </c>
      <c r="G347" s="26">
        <v>9397</v>
      </c>
    </row>
    <row r="348" spans="2:7" x14ac:dyDescent="0.2">
      <c r="B348" s="87"/>
      <c r="C348" s="22" t="s">
        <v>277</v>
      </c>
      <c r="D348" s="23" t="s">
        <v>2</v>
      </c>
      <c r="E348" s="88">
        <v>1</v>
      </c>
      <c r="F348" s="25">
        <v>8</v>
      </c>
      <c r="G348" s="26">
        <v>8</v>
      </c>
    </row>
    <row r="349" spans="2:7" x14ac:dyDescent="0.2">
      <c r="B349" s="87"/>
      <c r="C349" s="22" t="s">
        <v>278</v>
      </c>
      <c r="D349" s="23" t="s">
        <v>2</v>
      </c>
      <c r="E349" s="88">
        <v>1</v>
      </c>
      <c r="F349" s="25">
        <v>87717</v>
      </c>
      <c r="G349" s="26">
        <v>87717</v>
      </c>
    </row>
    <row r="350" spans="2:7" x14ac:dyDescent="0.2">
      <c r="B350" s="87"/>
      <c r="C350" s="22" t="s">
        <v>279</v>
      </c>
      <c r="D350" s="23" t="s">
        <v>2</v>
      </c>
      <c r="E350" s="88">
        <v>1</v>
      </c>
      <c r="F350" s="25">
        <v>346</v>
      </c>
      <c r="G350" s="26">
        <v>346</v>
      </c>
    </row>
    <row r="351" spans="2:7" x14ac:dyDescent="0.2">
      <c r="B351" s="21"/>
      <c r="C351" s="22"/>
      <c r="D351" s="23"/>
      <c r="E351" s="24"/>
      <c r="F351" s="25"/>
      <c r="G351" s="26"/>
    </row>
    <row r="352" spans="2:7" ht="17" thickBot="1" x14ac:dyDescent="0.25">
      <c r="B352" s="27"/>
      <c r="C352" s="28"/>
      <c r="D352" s="29"/>
      <c r="E352" s="30"/>
      <c r="F352" s="31" t="s">
        <v>280</v>
      </c>
      <c r="G352" s="32">
        <v>149182</v>
      </c>
    </row>
    <row r="353" spans="2:7" ht="17" thickBot="1" x14ac:dyDescent="0.25">
      <c r="B353" s="4"/>
      <c r="C353" s="33"/>
      <c r="D353" s="34"/>
      <c r="E353" s="35"/>
      <c r="F353" s="4"/>
      <c r="G353" s="36"/>
    </row>
    <row r="354" spans="2:7" x14ac:dyDescent="0.2">
      <c r="B354" s="10">
        <v>19</v>
      </c>
      <c r="C354" s="11" t="s">
        <v>281</v>
      </c>
      <c r="D354" s="12"/>
      <c r="E354" s="12"/>
      <c r="F354" s="13"/>
      <c r="G354" s="14">
        <v>19843249</v>
      </c>
    </row>
    <row r="355" spans="2:7" x14ac:dyDescent="0.2">
      <c r="B355" s="80"/>
      <c r="C355" s="81"/>
      <c r="D355" s="82"/>
      <c r="E355" s="83"/>
      <c r="F355" s="84"/>
      <c r="G355" s="85"/>
    </row>
    <row r="356" spans="2:7" x14ac:dyDescent="0.2">
      <c r="B356" s="87"/>
      <c r="C356" s="22" t="s">
        <v>282</v>
      </c>
      <c r="D356" s="23" t="s">
        <v>140</v>
      </c>
      <c r="E356" s="88">
        <v>1</v>
      </c>
      <c r="F356" s="25">
        <v>2570400</v>
      </c>
      <c r="G356" s="26">
        <v>2570400</v>
      </c>
    </row>
    <row r="357" spans="2:7" x14ac:dyDescent="0.2">
      <c r="B357" s="87"/>
      <c r="C357" s="22" t="s">
        <v>283</v>
      </c>
      <c r="D357" s="23" t="s">
        <v>140</v>
      </c>
      <c r="E357" s="88">
        <v>1</v>
      </c>
      <c r="F357" s="25">
        <v>2760800</v>
      </c>
      <c r="G357" s="26">
        <v>2760800</v>
      </c>
    </row>
    <row r="358" spans="2:7" x14ac:dyDescent="0.2">
      <c r="B358" s="87"/>
      <c r="C358" s="22" t="s">
        <v>284</v>
      </c>
      <c r="D358" s="23" t="s">
        <v>140</v>
      </c>
      <c r="E358" s="88">
        <v>1</v>
      </c>
      <c r="F358" s="25">
        <v>3046400</v>
      </c>
      <c r="G358" s="26">
        <v>3046400</v>
      </c>
    </row>
    <row r="359" spans="2:7" x14ac:dyDescent="0.2">
      <c r="B359" s="87"/>
      <c r="C359" s="22" t="s">
        <v>285</v>
      </c>
      <c r="D359" s="23" t="s">
        <v>286</v>
      </c>
      <c r="E359" s="88">
        <v>1</v>
      </c>
      <c r="F359" s="25">
        <v>2023000</v>
      </c>
      <c r="G359" s="26">
        <v>2023000</v>
      </c>
    </row>
    <row r="360" spans="2:7" x14ac:dyDescent="0.2">
      <c r="B360" s="87"/>
      <c r="C360" s="22" t="s">
        <v>287</v>
      </c>
      <c r="D360" s="23" t="s">
        <v>286</v>
      </c>
      <c r="E360" s="88">
        <v>1</v>
      </c>
      <c r="F360" s="25">
        <v>1309000</v>
      </c>
      <c r="G360" s="26">
        <v>1309000</v>
      </c>
    </row>
    <row r="361" spans="2:7" x14ac:dyDescent="0.2">
      <c r="B361" s="87"/>
      <c r="C361" s="22" t="s">
        <v>288</v>
      </c>
      <c r="D361" s="23" t="s">
        <v>286</v>
      </c>
      <c r="E361" s="88">
        <v>1</v>
      </c>
      <c r="F361" s="25">
        <v>2261000</v>
      </c>
      <c r="G361" s="26">
        <v>2261000</v>
      </c>
    </row>
    <row r="362" spans="2:7" x14ac:dyDescent="0.2">
      <c r="B362" s="87"/>
      <c r="C362" s="22" t="s">
        <v>289</v>
      </c>
      <c r="D362" s="23" t="s">
        <v>286</v>
      </c>
      <c r="E362" s="88">
        <v>1</v>
      </c>
      <c r="F362" s="25">
        <v>1487500</v>
      </c>
      <c r="G362" s="26">
        <v>1487500</v>
      </c>
    </row>
    <row r="363" spans="2:7" x14ac:dyDescent="0.2">
      <c r="B363" s="87"/>
      <c r="C363" s="22" t="s">
        <v>290</v>
      </c>
      <c r="D363" s="23" t="s">
        <v>140</v>
      </c>
      <c r="E363" s="88">
        <v>1</v>
      </c>
      <c r="F363" s="25">
        <v>0</v>
      </c>
      <c r="G363" s="26">
        <v>0</v>
      </c>
    </row>
    <row r="364" spans="2:7" x14ac:dyDescent="0.2">
      <c r="B364" s="87"/>
      <c r="C364" s="22" t="s">
        <v>291</v>
      </c>
      <c r="D364" s="23" t="s">
        <v>140</v>
      </c>
      <c r="E364" s="88">
        <v>1</v>
      </c>
      <c r="F364" s="25">
        <v>803250</v>
      </c>
      <c r="G364" s="26">
        <v>803250</v>
      </c>
    </row>
    <row r="365" spans="2:7" x14ac:dyDescent="0.2">
      <c r="B365" s="87"/>
      <c r="C365" s="22" t="s">
        <v>292</v>
      </c>
      <c r="D365" s="23" t="s">
        <v>286</v>
      </c>
      <c r="E365" s="88">
        <v>1</v>
      </c>
      <c r="F365" s="25">
        <v>476000</v>
      </c>
      <c r="G365" s="26">
        <v>476000</v>
      </c>
    </row>
    <row r="366" spans="2:7" x14ac:dyDescent="0.2">
      <c r="B366" s="87"/>
      <c r="C366" s="22" t="s">
        <v>293</v>
      </c>
      <c r="D366" s="23" t="s">
        <v>286</v>
      </c>
      <c r="E366" s="88">
        <v>1</v>
      </c>
      <c r="F366" s="25">
        <v>0</v>
      </c>
      <c r="G366" s="26">
        <v>0</v>
      </c>
    </row>
    <row r="367" spans="2:7" x14ac:dyDescent="0.2">
      <c r="B367" s="87"/>
      <c r="C367" s="22" t="s">
        <v>294</v>
      </c>
      <c r="D367" s="23" t="s">
        <v>140</v>
      </c>
      <c r="E367" s="88">
        <v>1</v>
      </c>
      <c r="F367" s="25">
        <v>690199</v>
      </c>
      <c r="G367" s="26">
        <v>690199</v>
      </c>
    </row>
    <row r="368" spans="2:7" x14ac:dyDescent="0.2">
      <c r="B368" s="87"/>
      <c r="C368" s="22" t="s">
        <v>295</v>
      </c>
      <c r="D368" s="23" t="s">
        <v>296</v>
      </c>
      <c r="E368" s="88">
        <v>1</v>
      </c>
      <c r="F368" s="25">
        <v>476000</v>
      </c>
      <c r="G368" s="26">
        <v>476000</v>
      </c>
    </row>
    <row r="369" spans="2:7" x14ac:dyDescent="0.2">
      <c r="B369" s="87"/>
      <c r="C369" s="22" t="s">
        <v>297</v>
      </c>
      <c r="D369" s="23" t="s">
        <v>296</v>
      </c>
      <c r="E369" s="88">
        <v>1</v>
      </c>
      <c r="F369" s="25">
        <v>892500</v>
      </c>
      <c r="G369" s="26">
        <v>892500</v>
      </c>
    </row>
    <row r="370" spans="2:7" x14ac:dyDescent="0.2">
      <c r="B370" s="87"/>
      <c r="C370" s="22" t="s">
        <v>298</v>
      </c>
      <c r="D370" s="23" t="s">
        <v>286</v>
      </c>
      <c r="E370" s="88">
        <v>1</v>
      </c>
      <c r="F370" s="25">
        <v>297500</v>
      </c>
      <c r="G370" s="26">
        <v>297500</v>
      </c>
    </row>
    <row r="371" spans="2:7" x14ac:dyDescent="0.2">
      <c r="B371" s="87"/>
      <c r="C371" s="22" t="s">
        <v>299</v>
      </c>
      <c r="D371" s="23" t="s">
        <v>296</v>
      </c>
      <c r="E371" s="88">
        <v>1</v>
      </c>
      <c r="F371" s="25">
        <v>749700</v>
      </c>
      <c r="G371" s="26">
        <v>749700</v>
      </c>
    </row>
    <row r="372" spans="2:7" x14ac:dyDescent="0.2">
      <c r="B372" s="21"/>
      <c r="C372" s="22"/>
      <c r="D372" s="23"/>
      <c r="E372" s="24"/>
      <c r="F372" s="25"/>
      <c r="G372" s="26"/>
    </row>
    <row r="373" spans="2:7" ht="17" thickBot="1" x14ac:dyDescent="0.25">
      <c r="B373" s="27"/>
      <c r="C373" s="28"/>
      <c r="D373" s="29"/>
      <c r="E373" s="30"/>
      <c r="F373" s="31" t="s">
        <v>300</v>
      </c>
      <c r="G373" s="32">
        <v>19843249</v>
      </c>
    </row>
    <row r="374" spans="2:7" ht="17" thickBot="1" x14ac:dyDescent="0.25">
      <c r="B374" s="4"/>
      <c r="C374" s="33"/>
      <c r="D374" s="34"/>
      <c r="E374" s="35"/>
      <c r="F374" s="4"/>
      <c r="G374" s="36"/>
    </row>
    <row r="375" spans="2:7" x14ac:dyDescent="0.2">
      <c r="B375" s="10">
        <v>20</v>
      </c>
      <c r="C375" s="11" t="s">
        <v>301</v>
      </c>
      <c r="D375" s="12"/>
      <c r="E375" s="12"/>
      <c r="F375" s="13"/>
      <c r="G375" s="14">
        <v>20773380</v>
      </c>
    </row>
    <row r="376" spans="2:7" x14ac:dyDescent="0.2">
      <c r="B376" s="80"/>
      <c r="C376" s="81"/>
      <c r="D376" s="82"/>
      <c r="E376" s="83"/>
      <c r="F376" s="84"/>
      <c r="G376" s="85"/>
    </row>
    <row r="377" spans="2:7" x14ac:dyDescent="0.2">
      <c r="B377" s="15"/>
      <c r="C377" s="16" t="s">
        <v>302</v>
      </c>
      <c r="D377" s="17" t="s">
        <v>2</v>
      </c>
      <c r="E377" s="18">
        <v>1</v>
      </c>
      <c r="F377" s="86">
        <v>194873</v>
      </c>
      <c r="G377" s="78">
        <v>194873</v>
      </c>
    </row>
    <row r="378" spans="2:7" x14ac:dyDescent="0.2">
      <c r="B378" s="87"/>
      <c r="C378" s="22" t="s">
        <v>303</v>
      </c>
      <c r="D378" s="23" t="s">
        <v>2</v>
      </c>
      <c r="E378" s="88">
        <v>1</v>
      </c>
      <c r="F378" s="25">
        <v>365039</v>
      </c>
      <c r="G378" s="26">
        <v>365039</v>
      </c>
    </row>
    <row r="379" spans="2:7" x14ac:dyDescent="0.2">
      <c r="B379" s="87" t="s">
        <v>142</v>
      </c>
      <c r="C379" s="22" t="s">
        <v>304</v>
      </c>
      <c r="D379" s="23" t="s">
        <v>2</v>
      </c>
      <c r="E379" s="88">
        <v>1</v>
      </c>
      <c r="F379" s="25">
        <v>483149</v>
      </c>
      <c r="G379" s="26">
        <v>483149</v>
      </c>
    </row>
    <row r="380" spans="2:7" x14ac:dyDescent="0.2">
      <c r="B380" s="87" t="s">
        <v>142</v>
      </c>
      <c r="C380" s="22" t="s">
        <v>305</v>
      </c>
      <c r="D380" s="23" t="s">
        <v>2</v>
      </c>
      <c r="E380" s="88">
        <v>1</v>
      </c>
      <c r="F380" s="25">
        <v>703328</v>
      </c>
      <c r="G380" s="26">
        <v>703328</v>
      </c>
    </row>
    <row r="381" spans="2:7" x14ac:dyDescent="0.2">
      <c r="B381" s="87" t="s">
        <v>142</v>
      </c>
      <c r="C381" s="22" t="s">
        <v>306</v>
      </c>
      <c r="D381" s="23" t="s">
        <v>2</v>
      </c>
      <c r="E381" s="88">
        <v>1</v>
      </c>
      <c r="F381" s="25">
        <v>810542</v>
      </c>
      <c r="G381" s="26">
        <v>810542</v>
      </c>
    </row>
    <row r="382" spans="2:7" x14ac:dyDescent="0.2">
      <c r="B382" s="87" t="s">
        <v>142</v>
      </c>
      <c r="C382" s="22" t="s">
        <v>307</v>
      </c>
      <c r="D382" s="23" t="s">
        <v>2</v>
      </c>
      <c r="E382" s="88">
        <v>1</v>
      </c>
      <c r="F382" s="25">
        <v>949329</v>
      </c>
      <c r="G382" s="26">
        <v>949329</v>
      </c>
    </row>
    <row r="383" spans="2:7" x14ac:dyDescent="0.2">
      <c r="B383" s="87" t="s">
        <v>142</v>
      </c>
      <c r="C383" s="22" t="s">
        <v>308</v>
      </c>
      <c r="D383" s="23" t="s">
        <v>2</v>
      </c>
      <c r="E383" s="88">
        <v>1</v>
      </c>
      <c r="F383" s="25">
        <v>1138522</v>
      </c>
      <c r="G383" s="26">
        <v>1138522</v>
      </c>
    </row>
    <row r="384" spans="2:7" x14ac:dyDescent="0.2">
      <c r="B384" s="87" t="s">
        <v>142</v>
      </c>
      <c r="C384" s="22" t="s">
        <v>309</v>
      </c>
      <c r="D384" s="23" t="s">
        <v>2</v>
      </c>
      <c r="E384" s="88">
        <v>1</v>
      </c>
      <c r="F384" s="25">
        <v>1416396</v>
      </c>
      <c r="G384" s="26">
        <v>1416396</v>
      </c>
    </row>
    <row r="385" spans="2:7" x14ac:dyDescent="0.2">
      <c r="B385" s="87" t="s">
        <v>142</v>
      </c>
      <c r="C385" s="22" t="s">
        <v>310</v>
      </c>
      <c r="D385" s="23" t="s">
        <v>2</v>
      </c>
      <c r="E385" s="88">
        <v>1</v>
      </c>
      <c r="F385" s="25">
        <v>1524205</v>
      </c>
      <c r="G385" s="26">
        <v>1524205</v>
      </c>
    </row>
    <row r="386" spans="2:7" x14ac:dyDescent="0.2">
      <c r="B386" s="87" t="s">
        <v>142</v>
      </c>
      <c r="C386" s="22" t="s">
        <v>311</v>
      </c>
      <c r="D386" s="23" t="s">
        <v>2</v>
      </c>
      <c r="E386" s="88">
        <v>1</v>
      </c>
      <c r="F386" s="25">
        <v>1701283</v>
      </c>
      <c r="G386" s="26">
        <v>1701283</v>
      </c>
    </row>
    <row r="387" spans="2:7" x14ac:dyDescent="0.2">
      <c r="B387" s="87" t="s">
        <v>142</v>
      </c>
      <c r="C387" s="22" t="s">
        <v>312</v>
      </c>
      <c r="D387" s="23" t="s">
        <v>2</v>
      </c>
      <c r="E387" s="88">
        <v>1</v>
      </c>
      <c r="F387" s="25">
        <v>1919745</v>
      </c>
      <c r="G387" s="26">
        <v>1919745</v>
      </c>
    </row>
    <row r="388" spans="2:7" x14ac:dyDescent="0.2">
      <c r="B388" s="87" t="s">
        <v>142</v>
      </c>
      <c r="C388" s="22" t="s">
        <v>313</v>
      </c>
      <c r="D388" s="23" t="s">
        <v>2</v>
      </c>
      <c r="E388" s="88">
        <v>1</v>
      </c>
      <c r="F388" s="25">
        <v>2105067</v>
      </c>
      <c r="G388" s="26">
        <v>2105067</v>
      </c>
    </row>
    <row r="389" spans="2:7" x14ac:dyDescent="0.2">
      <c r="B389" s="87" t="s">
        <v>142</v>
      </c>
      <c r="C389" s="22" t="s">
        <v>314</v>
      </c>
      <c r="D389" s="23" t="s">
        <v>2</v>
      </c>
      <c r="E389" s="88">
        <v>1</v>
      </c>
      <c r="F389" s="25">
        <v>116995</v>
      </c>
      <c r="G389" s="26">
        <v>116995</v>
      </c>
    </row>
    <row r="390" spans="2:7" x14ac:dyDescent="0.2">
      <c r="B390" s="87" t="s">
        <v>142</v>
      </c>
      <c r="C390" s="22" t="s">
        <v>315</v>
      </c>
      <c r="D390" s="23" t="s">
        <v>2</v>
      </c>
      <c r="E390" s="88">
        <v>1</v>
      </c>
      <c r="F390" s="25">
        <v>209283</v>
      </c>
      <c r="G390" s="26">
        <v>209283</v>
      </c>
    </row>
    <row r="391" spans="2:7" x14ac:dyDescent="0.2">
      <c r="B391" s="87" t="s">
        <v>142</v>
      </c>
      <c r="C391" s="22" t="s">
        <v>316</v>
      </c>
      <c r="D391" s="23" t="s">
        <v>2</v>
      </c>
      <c r="E391" s="88">
        <v>1</v>
      </c>
      <c r="F391" s="25">
        <v>276027</v>
      </c>
      <c r="G391" s="26">
        <v>276027</v>
      </c>
    </row>
    <row r="392" spans="2:7" x14ac:dyDescent="0.2">
      <c r="B392" s="87" t="s">
        <v>142</v>
      </c>
      <c r="C392" s="22" t="s">
        <v>317</v>
      </c>
      <c r="D392" s="23" t="s">
        <v>2</v>
      </c>
      <c r="E392" s="88">
        <v>1</v>
      </c>
      <c r="F392" s="25">
        <v>396761</v>
      </c>
      <c r="G392" s="26">
        <v>396761</v>
      </c>
    </row>
    <row r="393" spans="2:7" x14ac:dyDescent="0.2">
      <c r="B393" s="87" t="s">
        <v>142</v>
      </c>
      <c r="C393" s="22" t="s">
        <v>318</v>
      </c>
      <c r="D393" s="23" t="s">
        <v>2</v>
      </c>
      <c r="E393" s="88">
        <v>1</v>
      </c>
      <c r="F393" s="25">
        <v>459800</v>
      </c>
      <c r="G393" s="26">
        <v>459800</v>
      </c>
    </row>
    <row r="394" spans="2:7" x14ac:dyDescent="0.2">
      <c r="B394" s="87" t="s">
        <v>142</v>
      </c>
      <c r="C394" s="22" t="s">
        <v>319</v>
      </c>
      <c r="D394" s="23" t="s">
        <v>2</v>
      </c>
      <c r="E394" s="88">
        <v>1</v>
      </c>
      <c r="F394" s="25">
        <v>535085</v>
      </c>
      <c r="G394" s="26">
        <v>535085</v>
      </c>
    </row>
    <row r="395" spans="2:7" x14ac:dyDescent="0.2">
      <c r="B395" s="87" t="s">
        <v>142</v>
      </c>
      <c r="C395" s="22" t="s">
        <v>320</v>
      </c>
      <c r="D395" s="23" t="s">
        <v>2</v>
      </c>
      <c r="E395" s="88">
        <v>1</v>
      </c>
      <c r="F395" s="25">
        <v>639305</v>
      </c>
      <c r="G395" s="26">
        <v>639305</v>
      </c>
    </row>
    <row r="396" spans="2:7" x14ac:dyDescent="0.2">
      <c r="B396" s="87" t="s">
        <v>142</v>
      </c>
      <c r="C396" s="22" t="s">
        <v>321</v>
      </c>
      <c r="D396" s="23" t="s">
        <v>2</v>
      </c>
      <c r="E396" s="88">
        <v>1</v>
      </c>
      <c r="F396" s="25">
        <v>778380</v>
      </c>
      <c r="G396" s="26">
        <v>778380</v>
      </c>
    </row>
    <row r="397" spans="2:7" x14ac:dyDescent="0.2">
      <c r="B397" s="87" t="s">
        <v>142</v>
      </c>
      <c r="C397" s="22" t="s">
        <v>322</v>
      </c>
      <c r="D397" s="23" t="s">
        <v>2</v>
      </c>
      <c r="E397" s="88">
        <v>1</v>
      </c>
      <c r="F397" s="25">
        <v>864623</v>
      </c>
      <c r="G397" s="26">
        <v>864623</v>
      </c>
    </row>
    <row r="398" spans="2:7" x14ac:dyDescent="0.2">
      <c r="B398" s="87" t="s">
        <v>142</v>
      </c>
      <c r="C398" s="22" t="s">
        <v>323</v>
      </c>
      <c r="D398" s="23" t="s">
        <v>2</v>
      </c>
      <c r="E398" s="88">
        <v>1</v>
      </c>
      <c r="F398" s="25">
        <v>952458</v>
      </c>
      <c r="G398" s="26">
        <v>952458</v>
      </c>
    </row>
    <row r="399" spans="2:7" x14ac:dyDescent="0.2">
      <c r="B399" s="87" t="s">
        <v>142</v>
      </c>
      <c r="C399" s="22" t="s">
        <v>324</v>
      </c>
      <c r="D399" s="23" t="s">
        <v>2</v>
      </c>
      <c r="E399" s="88">
        <v>1</v>
      </c>
      <c r="F399" s="25">
        <v>1055236</v>
      </c>
      <c r="G399" s="26">
        <v>1055236</v>
      </c>
    </row>
    <row r="400" spans="2:7" x14ac:dyDescent="0.2">
      <c r="B400" s="87" t="s">
        <v>142</v>
      </c>
      <c r="C400" s="22" t="s">
        <v>325</v>
      </c>
      <c r="D400" s="23" t="s">
        <v>2</v>
      </c>
      <c r="E400" s="88">
        <v>1</v>
      </c>
      <c r="F400" s="25">
        <v>1177949</v>
      </c>
      <c r="G400" s="26">
        <v>1177949</v>
      </c>
    </row>
    <row r="401" spans="2:7" x14ac:dyDescent="0.2">
      <c r="B401" s="21"/>
      <c r="C401" s="22"/>
      <c r="D401" s="23"/>
      <c r="E401" s="24"/>
      <c r="F401" s="25"/>
      <c r="G401" s="26"/>
    </row>
    <row r="402" spans="2:7" ht="17" thickBot="1" x14ac:dyDescent="0.25">
      <c r="B402" s="27"/>
      <c r="C402" s="28"/>
      <c r="D402" s="29"/>
      <c r="E402" s="30"/>
      <c r="F402" s="31" t="s">
        <v>326</v>
      </c>
      <c r="G402" s="32">
        <v>20773380</v>
      </c>
    </row>
    <row r="403" spans="2:7" ht="17" thickBot="1" x14ac:dyDescent="0.25">
      <c r="B403" s="4"/>
      <c r="C403" s="33"/>
      <c r="D403" s="34"/>
      <c r="E403" s="35"/>
      <c r="F403" s="4"/>
      <c r="G403" s="36"/>
    </row>
    <row r="404" spans="2:7" x14ac:dyDescent="0.2">
      <c r="B404" s="10">
        <v>21</v>
      </c>
      <c r="C404" s="11" t="s">
        <v>327</v>
      </c>
      <c r="D404" s="12"/>
      <c r="E404" s="12"/>
      <c r="F404" s="13"/>
      <c r="G404" s="14">
        <v>764587</v>
      </c>
    </row>
    <row r="405" spans="2:7" x14ac:dyDescent="0.2">
      <c r="B405" s="80"/>
      <c r="C405" s="81"/>
      <c r="D405" s="82"/>
      <c r="E405" s="83"/>
      <c r="F405" s="84"/>
      <c r="G405" s="85"/>
    </row>
    <row r="406" spans="2:7" x14ac:dyDescent="0.2">
      <c r="B406" s="87"/>
      <c r="C406" s="22" t="s">
        <v>328</v>
      </c>
      <c r="D406" s="23" t="s">
        <v>8</v>
      </c>
      <c r="E406" s="88">
        <v>1</v>
      </c>
      <c r="F406" s="25">
        <v>194471</v>
      </c>
      <c r="G406" s="26">
        <v>194471</v>
      </c>
    </row>
    <row r="407" spans="2:7" x14ac:dyDescent="0.2">
      <c r="B407" s="87" t="s">
        <v>142</v>
      </c>
      <c r="C407" s="22" t="s">
        <v>329</v>
      </c>
      <c r="D407" s="23" t="s">
        <v>8</v>
      </c>
      <c r="E407" s="88">
        <v>1</v>
      </c>
      <c r="F407" s="25">
        <v>179845</v>
      </c>
      <c r="G407" s="26">
        <v>179845</v>
      </c>
    </row>
    <row r="408" spans="2:7" ht="28" x14ac:dyDescent="0.2">
      <c r="B408" s="87" t="s">
        <v>142</v>
      </c>
      <c r="C408" s="22" t="s">
        <v>330</v>
      </c>
      <c r="D408" s="23" t="s">
        <v>8</v>
      </c>
      <c r="E408" s="88">
        <v>1</v>
      </c>
      <c r="F408" s="25">
        <v>202482</v>
      </c>
      <c r="G408" s="26">
        <v>202482</v>
      </c>
    </row>
    <row r="409" spans="2:7" ht="28" x14ac:dyDescent="0.2">
      <c r="B409" s="87" t="s">
        <v>142</v>
      </c>
      <c r="C409" s="22" t="s">
        <v>331</v>
      </c>
      <c r="D409" s="23" t="s">
        <v>8</v>
      </c>
      <c r="E409" s="88">
        <v>1</v>
      </c>
      <c r="F409" s="25">
        <v>187789</v>
      </c>
      <c r="G409" s="26">
        <v>187789</v>
      </c>
    </row>
    <row r="410" spans="2:7" x14ac:dyDescent="0.2">
      <c r="B410" s="21"/>
      <c r="C410" s="22"/>
      <c r="D410" s="23"/>
      <c r="E410" s="24"/>
      <c r="F410" s="25"/>
      <c r="G410" s="26"/>
    </row>
    <row r="411" spans="2:7" ht="17" thickBot="1" x14ac:dyDescent="0.25">
      <c r="B411" s="27"/>
      <c r="C411" s="28"/>
      <c r="D411" s="29"/>
      <c r="E411" s="30"/>
      <c r="F411" s="31" t="s">
        <v>332</v>
      </c>
      <c r="G411" s="32">
        <v>764587</v>
      </c>
    </row>
    <row r="412" spans="2:7" ht="17" thickBot="1" x14ac:dyDescent="0.25">
      <c r="B412" s="4"/>
      <c r="C412" s="33"/>
      <c r="D412" s="34"/>
      <c r="E412" s="35"/>
      <c r="F412" s="4"/>
      <c r="G412" s="36"/>
    </row>
    <row r="413" spans="2:7" x14ac:dyDescent="0.2">
      <c r="B413" s="10">
        <v>22</v>
      </c>
      <c r="C413" s="11" t="s">
        <v>333</v>
      </c>
      <c r="D413" s="12"/>
      <c r="E413" s="12"/>
      <c r="F413" s="13"/>
      <c r="G413" s="14">
        <v>633248</v>
      </c>
    </row>
    <row r="414" spans="2:7" x14ac:dyDescent="0.2">
      <c r="B414" s="80"/>
      <c r="C414" s="81"/>
      <c r="D414" s="82"/>
      <c r="E414" s="83"/>
      <c r="F414" s="84"/>
      <c r="G414" s="85"/>
    </row>
    <row r="415" spans="2:7" x14ac:dyDescent="0.2">
      <c r="B415" s="87"/>
      <c r="C415" s="22" t="s">
        <v>334</v>
      </c>
      <c r="D415" s="23" t="s">
        <v>8</v>
      </c>
      <c r="E415" s="88">
        <v>1</v>
      </c>
      <c r="F415" s="25">
        <v>39610</v>
      </c>
      <c r="G415" s="26">
        <v>39610</v>
      </c>
    </row>
    <row r="416" spans="2:7" x14ac:dyDescent="0.2">
      <c r="B416" s="87"/>
      <c r="C416" s="22" t="s">
        <v>335</v>
      </c>
      <c r="D416" s="23" t="s">
        <v>8</v>
      </c>
      <c r="E416" s="88">
        <v>1</v>
      </c>
      <c r="F416" s="25">
        <v>204665</v>
      </c>
      <c r="G416" s="26">
        <v>204665</v>
      </c>
    </row>
    <row r="417" spans="2:7" x14ac:dyDescent="0.2">
      <c r="B417" s="87" t="s">
        <v>142</v>
      </c>
      <c r="C417" s="22" t="s">
        <v>336</v>
      </c>
      <c r="D417" s="23" t="s">
        <v>8</v>
      </c>
      <c r="E417" s="88">
        <v>1</v>
      </c>
      <c r="F417" s="25">
        <v>100399</v>
      </c>
      <c r="G417" s="26">
        <v>100399</v>
      </c>
    </row>
    <row r="418" spans="2:7" x14ac:dyDescent="0.2">
      <c r="B418" s="87" t="s">
        <v>142</v>
      </c>
      <c r="C418" s="22" t="s">
        <v>337</v>
      </c>
      <c r="D418" s="23" t="s">
        <v>8</v>
      </c>
      <c r="E418" s="88">
        <v>1</v>
      </c>
      <c r="F418" s="25">
        <v>97972</v>
      </c>
      <c r="G418" s="26">
        <v>97972</v>
      </c>
    </row>
    <row r="419" spans="2:7" x14ac:dyDescent="0.2">
      <c r="B419" s="87" t="s">
        <v>142</v>
      </c>
      <c r="C419" s="22" t="s">
        <v>338</v>
      </c>
      <c r="D419" s="23" t="s">
        <v>8</v>
      </c>
      <c r="E419" s="88">
        <v>1</v>
      </c>
      <c r="F419" s="25">
        <v>95908</v>
      </c>
      <c r="G419" s="26">
        <v>95908</v>
      </c>
    </row>
    <row r="420" spans="2:7" x14ac:dyDescent="0.2">
      <c r="B420" s="87" t="s">
        <v>142</v>
      </c>
      <c r="C420" s="22" t="s">
        <v>339</v>
      </c>
      <c r="D420" s="23" t="s">
        <v>8</v>
      </c>
      <c r="E420" s="88">
        <v>1</v>
      </c>
      <c r="F420" s="25">
        <v>94694</v>
      </c>
      <c r="G420" s="26">
        <v>94694</v>
      </c>
    </row>
    <row r="421" spans="2:7" x14ac:dyDescent="0.2">
      <c r="B421" s="21"/>
      <c r="C421" s="22"/>
      <c r="D421" s="23"/>
      <c r="E421" s="24"/>
      <c r="F421" s="25"/>
      <c r="G421" s="26"/>
    </row>
    <row r="422" spans="2:7" ht="17" thickBot="1" x14ac:dyDescent="0.25">
      <c r="B422" s="27"/>
      <c r="C422" s="28"/>
      <c r="D422" s="29"/>
      <c r="E422" s="30"/>
      <c r="F422" s="31" t="s">
        <v>340</v>
      </c>
      <c r="G422" s="32">
        <v>633248</v>
      </c>
    </row>
    <row r="423" spans="2:7" ht="17" thickBot="1" x14ac:dyDescent="0.25">
      <c r="B423" s="4"/>
      <c r="C423" s="33"/>
      <c r="D423" s="34"/>
      <c r="E423" s="35"/>
      <c r="F423" s="4"/>
      <c r="G423" s="36"/>
    </row>
    <row r="424" spans="2:7" x14ac:dyDescent="0.2">
      <c r="B424" s="10">
        <v>23</v>
      </c>
      <c r="C424" s="11" t="s">
        <v>341</v>
      </c>
      <c r="D424" s="12"/>
      <c r="E424" s="12"/>
      <c r="F424" s="13"/>
      <c r="G424" s="14">
        <v>1458983</v>
      </c>
    </row>
    <row r="425" spans="2:7" x14ac:dyDescent="0.2">
      <c r="B425" s="80"/>
      <c r="C425" s="81"/>
      <c r="D425" s="82"/>
      <c r="E425" s="83"/>
      <c r="F425" s="84"/>
      <c r="G425" s="85"/>
    </row>
    <row r="426" spans="2:7" x14ac:dyDescent="0.2">
      <c r="B426" s="87" t="s">
        <v>142</v>
      </c>
      <c r="C426" s="22" t="s">
        <v>342</v>
      </c>
      <c r="D426" s="23" t="s">
        <v>2</v>
      </c>
      <c r="E426" s="88">
        <v>1</v>
      </c>
      <c r="F426" s="25">
        <v>1458983</v>
      </c>
      <c r="G426" s="26">
        <v>1458983</v>
      </c>
    </row>
    <row r="427" spans="2:7" x14ac:dyDescent="0.2">
      <c r="B427" s="21"/>
      <c r="C427" s="22"/>
      <c r="D427" s="23"/>
      <c r="E427" s="24"/>
      <c r="F427" s="25"/>
      <c r="G427" s="26"/>
    </row>
    <row r="428" spans="2:7" ht="17" thickBot="1" x14ac:dyDescent="0.25">
      <c r="B428" s="27"/>
      <c r="C428" s="28"/>
      <c r="D428" s="29"/>
      <c r="E428" s="30"/>
      <c r="F428" s="31" t="s">
        <v>343</v>
      </c>
      <c r="G428" s="32">
        <v>1458983</v>
      </c>
    </row>
    <row r="429" spans="2:7" ht="17" thickBot="1" x14ac:dyDescent="0.25">
      <c r="B429" s="4"/>
      <c r="C429" s="33"/>
      <c r="D429" s="34"/>
      <c r="E429" s="35"/>
      <c r="F429" s="4"/>
      <c r="G429" s="36"/>
    </row>
    <row r="430" spans="2:7" x14ac:dyDescent="0.2">
      <c r="B430" s="10">
        <v>24</v>
      </c>
      <c r="C430" s="11" t="s">
        <v>344</v>
      </c>
      <c r="D430" s="12"/>
      <c r="E430" s="12"/>
      <c r="F430" s="13"/>
      <c r="G430" s="14">
        <v>360169</v>
      </c>
    </row>
    <row r="431" spans="2:7" x14ac:dyDescent="0.2">
      <c r="B431" s="80"/>
      <c r="C431" s="81"/>
      <c r="D431" s="82"/>
      <c r="E431" s="83"/>
      <c r="F431" s="84"/>
      <c r="G431" s="85"/>
    </row>
    <row r="432" spans="2:7" x14ac:dyDescent="0.2">
      <c r="B432" s="15"/>
      <c r="C432" s="16" t="s">
        <v>345</v>
      </c>
      <c r="D432" s="17" t="s">
        <v>107</v>
      </c>
      <c r="E432" s="18">
        <v>1</v>
      </c>
      <c r="F432" s="86">
        <v>21992</v>
      </c>
      <c r="G432" s="78">
        <v>21992</v>
      </c>
    </row>
    <row r="433" spans="2:7" x14ac:dyDescent="0.2">
      <c r="B433" s="15"/>
      <c r="C433" s="16" t="s">
        <v>346</v>
      </c>
      <c r="D433" s="17" t="s">
        <v>107</v>
      </c>
      <c r="E433" s="18">
        <v>1</v>
      </c>
      <c r="F433" s="86">
        <v>16478</v>
      </c>
      <c r="G433" s="78">
        <v>16478</v>
      </c>
    </row>
    <row r="434" spans="2:7" x14ac:dyDescent="0.2">
      <c r="B434" s="15"/>
      <c r="C434" s="16" t="s">
        <v>347</v>
      </c>
      <c r="D434" s="17" t="s">
        <v>107</v>
      </c>
      <c r="E434" s="18">
        <v>1</v>
      </c>
      <c r="F434" s="86">
        <v>14119</v>
      </c>
      <c r="G434" s="78">
        <v>14119</v>
      </c>
    </row>
    <row r="435" spans="2:7" x14ac:dyDescent="0.2">
      <c r="B435" s="15"/>
      <c r="C435" s="16" t="s">
        <v>348</v>
      </c>
      <c r="D435" s="17" t="s">
        <v>107</v>
      </c>
      <c r="E435" s="18">
        <v>1</v>
      </c>
      <c r="F435" s="86">
        <v>11965</v>
      </c>
      <c r="G435" s="78">
        <v>11965</v>
      </c>
    </row>
    <row r="436" spans="2:7" x14ac:dyDescent="0.2">
      <c r="B436" s="15"/>
      <c r="C436" s="16" t="s">
        <v>349</v>
      </c>
      <c r="D436" s="17" t="s">
        <v>107</v>
      </c>
      <c r="E436" s="18">
        <v>1</v>
      </c>
      <c r="F436" s="86">
        <v>10252</v>
      </c>
      <c r="G436" s="78">
        <v>10252</v>
      </c>
    </row>
    <row r="437" spans="2:7" x14ac:dyDescent="0.2">
      <c r="B437" s="15"/>
      <c r="C437" s="16" t="s">
        <v>350</v>
      </c>
      <c r="D437" s="17" t="s">
        <v>107</v>
      </c>
      <c r="E437" s="18">
        <v>1</v>
      </c>
      <c r="F437" s="86">
        <v>9276</v>
      </c>
      <c r="G437" s="78">
        <v>9276</v>
      </c>
    </row>
    <row r="438" spans="2:7" x14ac:dyDescent="0.2">
      <c r="B438" s="15"/>
      <c r="C438" s="16" t="s">
        <v>351</v>
      </c>
      <c r="D438" s="17" t="s">
        <v>107</v>
      </c>
      <c r="E438" s="18">
        <v>1</v>
      </c>
      <c r="F438" s="86">
        <v>19059</v>
      </c>
      <c r="G438" s="78">
        <v>19059</v>
      </c>
    </row>
    <row r="439" spans="2:7" x14ac:dyDescent="0.2">
      <c r="B439" s="15"/>
      <c r="C439" s="16" t="s">
        <v>352</v>
      </c>
      <c r="D439" s="17" t="s">
        <v>107</v>
      </c>
      <c r="E439" s="18">
        <v>1</v>
      </c>
      <c r="F439" s="86">
        <v>14539</v>
      </c>
      <c r="G439" s="78">
        <v>14539</v>
      </c>
    </row>
    <row r="440" spans="2:7" x14ac:dyDescent="0.2">
      <c r="B440" s="15"/>
      <c r="C440" s="16" t="s">
        <v>353</v>
      </c>
      <c r="D440" s="17" t="s">
        <v>107</v>
      </c>
      <c r="E440" s="18">
        <v>1</v>
      </c>
      <c r="F440" s="86">
        <v>12550</v>
      </c>
      <c r="G440" s="78">
        <v>12550</v>
      </c>
    </row>
    <row r="441" spans="2:7" x14ac:dyDescent="0.2">
      <c r="B441" s="15"/>
      <c r="C441" s="16" t="s">
        <v>354</v>
      </c>
      <c r="D441" s="17" t="s">
        <v>107</v>
      </c>
      <c r="E441" s="18">
        <v>1</v>
      </c>
      <c r="F441" s="86">
        <v>10705</v>
      </c>
      <c r="G441" s="78">
        <v>10705</v>
      </c>
    </row>
    <row r="442" spans="2:7" x14ac:dyDescent="0.2">
      <c r="B442" s="15"/>
      <c r="C442" s="16" t="s">
        <v>355</v>
      </c>
      <c r="D442" s="17" t="s">
        <v>107</v>
      </c>
      <c r="E442" s="18">
        <v>1</v>
      </c>
      <c r="F442" s="86">
        <v>9276</v>
      </c>
      <c r="G442" s="78">
        <v>9276</v>
      </c>
    </row>
    <row r="443" spans="2:7" x14ac:dyDescent="0.2">
      <c r="B443" s="15"/>
      <c r="C443" s="16" t="s">
        <v>356</v>
      </c>
      <c r="D443" s="17" t="s">
        <v>107</v>
      </c>
      <c r="E443" s="18">
        <v>1</v>
      </c>
      <c r="F443" s="86">
        <v>8433</v>
      </c>
      <c r="G443" s="78">
        <v>8433</v>
      </c>
    </row>
    <row r="444" spans="2:7" x14ac:dyDescent="0.2">
      <c r="B444" s="15"/>
      <c r="C444" s="16" t="s">
        <v>204</v>
      </c>
      <c r="D444" s="17" t="s">
        <v>107</v>
      </c>
      <c r="E444" s="18">
        <v>1</v>
      </c>
      <c r="F444" s="86">
        <v>27228</v>
      </c>
      <c r="G444" s="78">
        <v>27228</v>
      </c>
    </row>
    <row r="445" spans="2:7" x14ac:dyDescent="0.2">
      <c r="B445" s="15"/>
      <c r="C445" s="16" t="s">
        <v>205</v>
      </c>
      <c r="D445" s="17" t="s">
        <v>107</v>
      </c>
      <c r="E445" s="18">
        <v>1</v>
      </c>
      <c r="F445" s="86">
        <v>20770</v>
      </c>
      <c r="G445" s="78">
        <v>20770</v>
      </c>
    </row>
    <row r="446" spans="2:7" x14ac:dyDescent="0.2">
      <c r="B446" s="15"/>
      <c r="C446" s="16" t="s">
        <v>206</v>
      </c>
      <c r="D446" s="17" t="s">
        <v>107</v>
      </c>
      <c r="E446" s="18">
        <v>1</v>
      </c>
      <c r="F446" s="86">
        <v>16985</v>
      </c>
      <c r="G446" s="78">
        <v>16985</v>
      </c>
    </row>
    <row r="447" spans="2:7" x14ac:dyDescent="0.2">
      <c r="B447" s="15"/>
      <c r="C447" s="16" t="s">
        <v>207</v>
      </c>
      <c r="D447" s="17" t="s">
        <v>107</v>
      </c>
      <c r="E447" s="18">
        <v>1</v>
      </c>
      <c r="F447" s="86">
        <v>13837</v>
      </c>
      <c r="G447" s="78">
        <v>13837</v>
      </c>
    </row>
    <row r="448" spans="2:7" x14ac:dyDescent="0.2">
      <c r="B448" s="15"/>
      <c r="C448" s="16" t="s">
        <v>208</v>
      </c>
      <c r="D448" s="17" t="s">
        <v>107</v>
      </c>
      <c r="E448" s="18">
        <v>1</v>
      </c>
      <c r="F448" s="86">
        <v>12099</v>
      </c>
      <c r="G448" s="78">
        <v>12099</v>
      </c>
    </row>
    <row r="449" spans="2:7" x14ac:dyDescent="0.2">
      <c r="B449" s="15"/>
      <c r="C449" s="16" t="s">
        <v>209</v>
      </c>
      <c r="D449" s="17" t="s">
        <v>107</v>
      </c>
      <c r="E449" s="18">
        <v>1</v>
      </c>
      <c r="F449" s="86">
        <v>10601</v>
      </c>
      <c r="G449" s="78">
        <v>10601</v>
      </c>
    </row>
    <row r="450" spans="2:7" x14ac:dyDescent="0.2">
      <c r="B450" s="15"/>
      <c r="C450" s="16" t="s">
        <v>357</v>
      </c>
      <c r="D450" s="17" t="s">
        <v>107</v>
      </c>
      <c r="E450" s="18">
        <v>1</v>
      </c>
      <c r="F450" s="86">
        <v>25990</v>
      </c>
      <c r="G450" s="78">
        <v>25990</v>
      </c>
    </row>
    <row r="451" spans="2:7" x14ac:dyDescent="0.2">
      <c r="B451" s="15"/>
      <c r="C451" s="16" t="s">
        <v>358</v>
      </c>
      <c r="D451" s="17" t="s">
        <v>107</v>
      </c>
      <c r="E451" s="18">
        <v>1</v>
      </c>
      <c r="F451" s="86">
        <v>20597</v>
      </c>
      <c r="G451" s="78">
        <v>20597</v>
      </c>
    </row>
    <row r="452" spans="2:7" x14ac:dyDescent="0.2">
      <c r="B452" s="15"/>
      <c r="C452" s="16" t="s">
        <v>359</v>
      </c>
      <c r="D452" s="17" t="s">
        <v>107</v>
      </c>
      <c r="E452" s="18">
        <v>1</v>
      </c>
      <c r="F452" s="86">
        <v>17377</v>
      </c>
      <c r="G452" s="78">
        <v>17377</v>
      </c>
    </row>
    <row r="453" spans="2:7" x14ac:dyDescent="0.2">
      <c r="B453" s="15"/>
      <c r="C453" s="16" t="s">
        <v>360</v>
      </c>
      <c r="D453" s="17" t="s">
        <v>107</v>
      </c>
      <c r="E453" s="18">
        <v>1</v>
      </c>
      <c r="F453" s="86">
        <v>13560</v>
      </c>
      <c r="G453" s="78">
        <v>13560</v>
      </c>
    </row>
    <row r="454" spans="2:7" x14ac:dyDescent="0.2">
      <c r="B454" s="15"/>
      <c r="C454" s="16" t="s">
        <v>361</v>
      </c>
      <c r="D454" s="17" t="s">
        <v>107</v>
      </c>
      <c r="E454" s="18">
        <v>1</v>
      </c>
      <c r="F454" s="86">
        <v>12174</v>
      </c>
      <c r="G454" s="78">
        <v>12174</v>
      </c>
    </row>
    <row r="455" spans="2:7" x14ac:dyDescent="0.2">
      <c r="B455" s="15"/>
      <c r="C455" s="16" t="s">
        <v>362</v>
      </c>
      <c r="D455" s="17" t="s">
        <v>107</v>
      </c>
      <c r="E455" s="18">
        <v>1</v>
      </c>
      <c r="F455" s="86">
        <v>10307</v>
      </c>
      <c r="G455" s="78">
        <v>10307</v>
      </c>
    </row>
    <row r="456" spans="2:7" x14ac:dyDescent="0.2">
      <c r="B456" s="21"/>
      <c r="C456" s="22"/>
      <c r="D456" s="23"/>
      <c r="E456" s="24"/>
      <c r="F456" s="25"/>
      <c r="G456" s="26"/>
    </row>
    <row r="457" spans="2:7" ht="17" thickBot="1" x14ac:dyDescent="0.25">
      <c r="B457" s="27"/>
      <c r="C457" s="28"/>
      <c r="D457" s="29"/>
      <c r="E457" s="30"/>
      <c r="F457" s="31" t="s">
        <v>363</v>
      </c>
      <c r="G457" s="32">
        <v>360169</v>
      </c>
    </row>
    <row r="458" spans="2:7" ht="17" thickBot="1" x14ac:dyDescent="0.25">
      <c r="B458" s="4"/>
      <c r="C458" s="33"/>
      <c r="D458" s="34"/>
      <c r="E458" s="35"/>
      <c r="F458" s="4"/>
      <c r="G458" s="36"/>
    </row>
    <row r="459" spans="2:7" x14ac:dyDescent="0.2">
      <c r="B459" s="10">
        <v>25</v>
      </c>
      <c r="C459" s="11" t="s">
        <v>364</v>
      </c>
      <c r="D459" s="12"/>
      <c r="E459" s="12"/>
      <c r="F459" s="13"/>
      <c r="G459" s="14">
        <v>424468</v>
      </c>
    </row>
    <row r="460" spans="2:7" x14ac:dyDescent="0.2">
      <c r="B460" s="80"/>
      <c r="C460" s="81"/>
      <c r="D460" s="82"/>
      <c r="E460" s="83"/>
      <c r="F460" s="84"/>
      <c r="G460" s="85"/>
    </row>
    <row r="461" spans="2:7" x14ac:dyDescent="0.2">
      <c r="B461" s="15"/>
      <c r="C461" s="16" t="s">
        <v>365</v>
      </c>
      <c r="D461" s="17" t="s">
        <v>107</v>
      </c>
      <c r="E461" s="18">
        <v>1</v>
      </c>
      <c r="F461" s="86">
        <v>21992</v>
      </c>
      <c r="G461" s="78">
        <v>21992</v>
      </c>
    </row>
    <row r="462" spans="2:7" x14ac:dyDescent="0.2">
      <c r="B462" s="15"/>
      <c r="C462" s="16" t="s">
        <v>366</v>
      </c>
      <c r="D462" s="17" t="s">
        <v>107</v>
      </c>
      <c r="E462" s="18">
        <v>1</v>
      </c>
      <c r="F462" s="86">
        <v>16478</v>
      </c>
      <c r="G462" s="78">
        <v>16478</v>
      </c>
    </row>
    <row r="463" spans="2:7" x14ac:dyDescent="0.2">
      <c r="B463" s="15"/>
      <c r="C463" s="16" t="s">
        <v>367</v>
      </c>
      <c r="D463" s="17" t="s">
        <v>107</v>
      </c>
      <c r="E463" s="18">
        <v>1</v>
      </c>
      <c r="F463" s="86">
        <v>14119</v>
      </c>
      <c r="G463" s="78">
        <v>14119</v>
      </c>
    </row>
    <row r="464" spans="2:7" x14ac:dyDescent="0.2">
      <c r="B464" s="15"/>
      <c r="C464" s="16" t="s">
        <v>368</v>
      </c>
      <c r="D464" s="17" t="s">
        <v>107</v>
      </c>
      <c r="E464" s="18">
        <v>1</v>
      </c>
      <c r="F464" s="86">
        <v>11965</v>
      </c>
      <c r="G464" s="78">
        <v>11965</v>
      </c>
    </row>
    <row r="465" spans="2:7" x14ac:dyDescent="0.2">
      <c r="B465" s="15"/>
      <c r="C465" s="16" t="s">
        <v>369</v>
      </c>
      <c r="D465" s="17" t="s">
        <v>107</v>
      </c>
      <c r="E465" s="18">
        <v>1</v>
      </c>
      <c r="F465" s="86">
        <v>10252</v>
      </c>
      <c r="G465" s="78">
        <v>10252</v>
      </c>
    </row>
    <row r="466" spans="2:7" x14ac:dyDescent="0.2">
      <c r="B466" s="15"/>
      <c r="C466" s="16" t="s">
        <v>370</v>
      </c>
      <c r="D466" s="17" t="s">
        <v>107</v>
      </c>
      <c r="E466" s="18">
        <v>1</v>
      </c>
      <c r="F466" s="86">
        <v>9276</v>
      </c>
      <c r="G466" s="78">
        <v>9276</v>
      </c>
    </row>
    <row r="467" spans="2:7" x14ac:dyDescent="0.2">
      <c r="B467" s="15"/>
      <c r="C467" s="16" t="s">
        <v>371</v>
      </c>
      <c r="D467" s="17" t="s">
        <v>107</v>
      </c>
      <c r="E467" s="18">
        <v>1</v>
      </c>
      <c r="F467" s="86">
        <v>25990</v>
      </c>
      <c r="G467" s="78">
        <v>25990</v>
      </c>
    </row>
    <row r="468" spans="2:7" x14ac:dyDescent="0.2">
      <c r="B468" s="15"/>
      <c r="C468" s="16" t="s">
        <v>372</v>
      </c>
      <c r="D468" s="17" t="s">
        <v>107</v>
      </c>
      <c r="E468" s="18">
        <v>1</v>
      </c>
      <c r="F468" s="86">
        <v>19013</v>
      </c>
      <c r="G468" s="78">
        <v>19013</v>
      </c>
    </row>
    <row r="469" spans="2:7" x14ac:dyDescent="0.2">
      <c r="B469" s="15"/>
      <c r="C469" s="16" t="s">
        <v>373</v>
      </c>
      <c r="D469" s="17" t="s">
        <v>107</v>
      </c>
      <c r="E469" s="18">
        <v>1</v>
      </c>
      <c r="F469" s="86">
        <v>16135</v>
      </c>
      <c r="G469" s="78">
        <v>16135</v>
      </c>
    </row>
    <row r="470" spans="2:7" x14ac:dyDescent="0.2">
      <c r="B470" s="15"/>
      <c r="C470" s="16" t="s">
        <v>374</v>
      </c>
      <c r="D470" s="17" t="s">
        <v>107</v>
      </c>
      <c r="E470" s="18">
        <v>1</v>
      </c>
      <c r="F470" s="86">
        <v>13560</v>
      </c>
      <c r="G470" s="78">
        <v>13560</v>
      </c>
    </row>
    <row r="471" spans="2:7" x14ac:dyDescent="0.2">
      <c r="B471" s="15"/>
      <c r="C471" s="16" t="s">
        <v>375</v>
      </c>
      <c r="D471" s="17" t="s">
        <v>107</v>
      </c>
      <c r="E471" s="18">
        <v>1</v>
      </c>
      <c r="F471" s="86">
        <v>11458</v>
      </c>
      <c r="G471" s="78">
        <v>11458</v>
      </c>
    </row>
    <row r="472" spans="2:7" x14ac:dyDescent="0.2">
      <c r="B472" s="15"/>
      <c r="C472" s="16" t="s">
        <v>376</v>
      </c>
      <c r="D472" s="17" t="s">
        <v>107</v>
      </c>
      <c r="E472" s="18">
        <v>1</v>
      </c>
      <c r="F472" s="86">
        <v>10307</v>
      </c>
      <c r="G472" s="78">
        <v>10307</v>
      </c>
    </row>
    <row r="473" spans="2:7" x14ac:dyDescent="0.2">
      <c r="B473" s="15"/>
      <c r="C473" s="16" t="s">
        <v>377</v>
      </c>
      <c r="D473" s="17" t="s">
        <v>107</v>
      </c>
      <c r="E473" s="18">
        <v>1</v>
      </c>
      <c r="F473" s="86">
        <v>31766</v>
      </c>
      <c r="G473" s="78">
        <v>31766</v>
      </c>
    </row>
    <row r="474" spans="2:7" x14ac:dyDescent="0.2">
      <c r="B474" s="15"/>
      <c r="C474" s="16" t="s">
        <v>378</v>
      </c>
      <c r="D474" s="17" t="s">
        <v>107</v>
      </c>
      <c r="E474" s="18">
        <v>1</v>
      </c>
      <c r="F474" s="86">
        <v>24716</v>
      </c>
      <c r="G474" s="78">
        <v>24716</v>
      </c>
    </row>
    <row r="475" spans="2:7" x14ac:dyDescent="0.2">
      <c r="B475" s="15"/>
      <c r="C475" s="16" t="s">
        <v>379</v>
      </c>
      <c r="D475" s="17" t="s">
        <v>107</v>
      </c>
      <c r="E475" s="18">
        <v>1</v>
      </c>
      <c r="F475" s="86">
        <v>21514</v>
      </c>
      <c r="G475" s="78">
        <v>21514</v>
      </c>
    </row>
    <row r="476" spans="2:7" x14ac:dyDescent="0.2">
      <c r="B476" s="15"/>
      <c r="C476" s="16" t="s">
        <v>380</v>
      </c>
      <c r="D476" s="17" t="s">
        <v>107</v>
      </c>
      <c r="E476" s="18">
        <v>1</v>
      </c>
      <c r="F476" s="86">
        <v>18491</v>
      </c>
      <c r="G476" s="78">
        <v>18491</v>
      </c>
    </row>
    <row r="477" spans="2:7" x14ac:dyDescent="0.2">
      <c r="B477" s="15"/>
      <c r="C477" s="16" t="s">
        <v>381</v>
      </c>
      <c r="D477" s="17" t="s">
        <v>107</v>
      </c>
      <c r="E477" s="18">
        <v>1</v>
      </c>
      <c r="F477" s="86">
        <v>14984</v>
      </c>
      <c r="G477" s="78">
        <v>14984</v>
      </c>
    </row>
    <row r="478" spans="2:7" x14ac:dyDescent="0.2">
      <c r="B478" s="15"/>
      <c r="C478" s="16" t="s">
        <v>382</v>
      </c>
      <c r="D478" s="17" t="s">
        <v>107</v>
      </c>
      <c r="E478" s="18">
        <v>1</v>
      </c>
      <c r="F478" s="86">
        <v>13251</v>
      </c>
      <c r="G478" s="78">
        <v>13251</v>
      </c>
    </row>
    <row r="479" spans="2:7" x14ac:dyDescent="0.2">
      <c r="B479" s="15"/>
      <c r="C479" s="16" t="s">
        <v>383</v>
      </c>
      <c r="D479" s="17" t="s">
        <v>107</v>
      </c>
      <c r="E479" s="18">
        <v>1</v>
      </c>
      <c r="F479" s="86">
        <v>31766</v>
      </c>
      <c r="G479" s="78">
        <v>31766</v>
      </c>
    </row>
    <row r="480" spans="2:7" x14ac:dyDescent="0.2">
      <c r="B480" s="15"/>
      <c r="C480" s="16" t="s">
        <v>384</v>
      </c>
      <c r="D480" s="17" t="s">
        <v>107</v>
      </c>
      <c r="E480" s="18">
        <v>1</v>
      </c>
      <c r="F480" s="86">
        <v>24716</v>
      </c>
      <c r="G480" s="78">
        <v>24716</v>
      </c>
    </row>
    <row r="481" spans="2:7" x14ac:dyDescent="0.2">
      <c r="B481" s="15"/>
      <c r="C481" s="16" t="s">
        <v>385</v>
      </c>
      <c r="D481" s="17" t="s">
        <v>107</v>
      </c>
      <c r="E481" s="18">
        <v>1</v>
      </c>
      <c r="F481" s="86">
        <v>21514</v>
      </c>
      <c r="G481" s="78">
        <v>21514</v>
      </c>
    </row>
    <row r="482" spans="2:7" x14ac:dyDescent="0.2">
      <c r="B482" s="15"/>
      <c r="C482" s="16" t="s">
        <v>386</v>
      </c>
      <c r="D482" s="17" t="s">
        <v>107</v>
      </c>
      <c r="E482" s="18">
        <v>1</v>
      </c>
      <c r="F482" s="86">
        <v>18491</v>
      </c>
      <c r="G482" s="78">
        <v>18491</v>
      </c>
    </row>
    <row r="483" spans="2:7" x14ac:dyDescent="0.2">
      <c r="B483" s="15"/>
      <c r="C483" s="16" t="s">
        <v>387</v>
      </c>
      <c r="D483" s="17" t="s">
        <v>107</v>
      </c>
      <c r="E483" s="18">
        <v>1</v>
      </c>
      <c r="F483" s="86">
        <v>14984</v>
      </c>
      <c r="G483" s="78">
        <v>14984</v>
      </c>
    </row>
    <row r="484" spans="2:7" x14ac:dyDescent="0.2">
      <c r="B484" s="15"/>
      <c r="C484" s="16" t="s">
        <v>388</v>
      </c>
      <c r="D484" s="17" t="s">
        <v>107</v>
      </c>
      <c r="E484" s="18">
        <v>1</v>
      </c>
      <c r="F484" s="86">
        <v>7730</v>
      </c>
      <c r="G484" s="78">
        <v>7730</v>
      </c>
    </row>
    <row r="485" spans="2:7" x14ac:dyDescent="0.2">
      <c r="B485" s="21"/>
      <c r="C485" s="22"/>
      <c r="D485" s="23"/>
      <c r="E485" s="24"/>
      <c r="F485" s="25"/>
      <c r="G485" s="26"/>
    </row>
    <row r="486" spans="2:7" ht="17" thickBot="1" x14ac:dyDescent="0.25">
      <c r="B486" s="27"/>
      <c r="C486" s="28"/>
      <c r="D486" s="29"/>
      <c r="E486" s="30"/>
      <c r="F486" s="31" t="s">
        <v>389</v>
      </c>
      <c r="G486" s="32">
        <v>424468</v>
      </c>
    </row>
    <row r="487" spans="2:7" ht="17" thickBot="1" x14ac:dyDescent="0.25">
      <c r="B487" s="4"/>
      <c r="C487" s="33"/>
      <c r="D487" s="34"/>
      <c r="E487" s="35"/>
      <c r="F487" s="4"/>
      <c r="G487" s="36"/>
    </row>
    <row r="488" spans="2:7" x14ac:dyDescent="0.2">
      <c r="B488" s="10" t="s">
        <v>128</v>
      </c>
      <c r="C488" s="11" t="s">
        <v>390</v>
      </c>
      <c r="D488" s="12"/>
      <c r="E488" s="12"/>
      <c r="F488" s="13"/>
      <c r="G488" s="14">
        <v>849575</v>
      </c>
    </row>
    <row r="489" spans="2:7" x14ac:dyDescent="0.2">
      <c r="B489" s="80"/>
      <c r="C489" s="81"/>
      <c r="D489" s="82"/>
      <c r="E489" s="83"/>
      <c r="F489" s="84"/>
      <c r="G489" s="85"/>
    </row>
    <row r="490" spans="2:7" ht="28" x14ac:dyDescent="0.2">
      <c r="B490" s="15"/>
      <c r="C490" s="16" t="s">
        <v>391</v>
      </c>
      <c r="D490" s="17" t="s">
        <v>107</v>
      </c>
      <c r="E490" s="18">
        <v>1</v>
      </c>
      <c r="F490" s="86">
        <v>56278</v>
      </c>
      <c r="G490" s="78">
        <v>56278</v>
      </c>
    </row>
    <row r="491" spans="2:7" ht="28" x14ac:dyDescent="0.2">
      <c r="B491" s="15"/>
      <c r="C491" s="16" t="s">
        <v>392</v>
      </c>
      <c r="D491" s="17" t="s">
        <v>107</v>
      </c>
      <c r="E491" s="18">
        <v>1</v>
      </c>
      <c r="F491" s="86">
        <v>35048</v>
      </c>
      <c r="G491" s="78">
        <v>35048</v>
      </c>
    </row>
    <row r="492" spans="2:7" ht="28" x14ac:dyDescent="0.2">
      <c r="B492" s="15"/>
      <c r="C492" s="16" t="s">
        <v>393</v>
      </c>
      <c r="D492" s="17" t="s">
        <v>107</v>
      </c>
      <c r="E492" s="18">
        <v>1</v>
      </c>
      <c r="F492" s="86">
        <v>78985</v>
      </c>
      <c r="G492" s="78">
        <v>78985</v>
      </c>
    </row>
    <row r="493" spans="2:7" x14ac:dyDescent="0.2">
      <c r="B493" s="15"/>
      <c r="C493" s="16" t="s">
        <v>394</v>
      </c>
      <c r="D493" s="17" t="s">
        <v>107</v>
      </c>
      <c r="E493" s="18">
        <v>1</v>
      </c>
      <c r="F493" s="86">
        <v>38970</v>
      </c>
      <c r="G493" s="78">
        <v>38970</v>
      </c>
    </row>
    <row r="494" spans="2:7" ht="28" x14ac:dyDescent="0.2">
      <c r="B494" s="15"/>
      <c r="C494" s="16" t="s">
        <v>395</v>
      </c>
      <c r="D494" s="17" t="s">
        <v>107</v>
      </c>
      <c r="E494" s="18">
        <v>1</v>
      </c>
      <c r="F494" s="86">
        <v>62411</v>
      </c>
      <c r="G494" s="78">
        <v>62411</v>
      </c>
    </row>
    <row r="495" spans="2:7" ht="28" x14ac:dyDescent="0.2">
      <c r="B495" s="15"/>
      <c r="C495" s="16" t="s">
        <v>396</v>
      </c>
      <c r="D495" s="17" t="s">
        <v>107</v>
      </c>
      <c r="E495" s="18">
        <v>1</v>
      </c>
      <c r="F495" s="86">
        <v>87788</v>
      </c>
      <c r="G495" s="78">
        <v>87788</v>
      </c>
    </row>
    <row r="496" spans="2:7" x14ac:dyDescent="0.2">
      <c r="B496" s="15"/>
      <c r="C496" s="16" t="s">
        <v>397</v>
      </c>
      <c r="D496" s="17" t="s">
        <v>107</v>
      </c>
      <c r="E496" s="18">
        <v>1</v>
      </c>
      <c r="F496" s="86">
        <v>38973</v>
      </c>
      <c r="G496" s="78">
        <v>38973</v>
      </c>
    </row>
    <row r="497" spans="2:7" ht="28" x14ac:dyDescent="0.2">
      <c r="B497" s="15"/>
      <c r="C497" s="16" t="s">
        <v>398</v>
      </c>
      <c r="D497" s="17" t="s">
        <v>107</v>
      </c>
      <c r="E497" s="18">
        <v>1</v>
      </c>
      <c r="F497" s="86">
        <v>62651</v>
      </c>
      <c r="G497" s="78">
        <v>62651</v>
      </c>
    </row>
    <row r="498" spans="2:7" ht="28" x14ac:dyDescent="0.2">
      <c r="B498" s="15"/>
      <c r="C498" s="16" t="s">
        <v>399</v>
      </c>
      <c r="D498" s="17" t="s">
        <v>107</v>
      </c>
      <c r="E498" s="18">
        <v>1</v>
      </c>
      <c r="F498" s="86">
        <v>87982</v>
      </c>
      <c r="G498" s="78">
        <v>87982</v>
      </c>
    </row>
    <row r="499" spans="2:7" ht="28" x14ac:dyDescent="0.2">
      <c r="B499" s="15"/>
      <c r="C499" s="16" t="s">
        <v>400</v>
      </c>
      <c r="D499" s="17" t="s">
        <v>107</v>
      </c>
      <c r="E499" s="18">
        <v>1</v>
      </c>
      <c r="F499" s="86">
        <v>43686</v>
      </c>
      <c r="G499" s="78">
        <v>43686</v>
      </c>
    </row>
    <row r="500" spans="2:7" ht="28" x14ac:dyDescent="0.2">
      <c r="B500" s="15"/>
      <c r="C500" s="16" t="s">
        <v>401</v>
      </c>
      <c r="D500" s="17" t="s">
        <v>107</v>
      </c>
      <c r="E500" s="18">
        <v>1</v>
      </c>
      <c r="F500" s="86">
        <v>64829</v>
      </c>
      <c r="G500" s="78">
        <v>64829</v>
      </c>
    </row>
    <row r="501" spans="2:7" ht="28" x14ac:dyDescent="0.2">
      <c r="B501" s="15"/>
      <c r="C501" s="16" t="s">
        <v>402</v>
      </c>
      <c r="D501" s="17" t="s">
        <v>107</v>
      </c>
      <c r="E501" s="18">
        <v>1</v>
      </c>
      <c r="F501" s="86">
        <v>20036</v>
      </c>
      <c r="G501" s="78">
        <v>20036</v>
      </c>
    </row>
    <row r="502" spans="2:7" x14ac:dyDescent="0.2">
      <c r="B502" s="15"/>
      <c r="C502" s="16" t="s">
        <v>403</v>
      </c>
      <c r="D502" s="17" t="s">
        <v>107</v>
      </c>
      <c r="E502" s="18">
        <v>1</v>
      </c>
      <c r="F502" s="86">
        <v>12274</v>
      </c>
      <c r="G502" s="78">
        <v>12274</v>
      </c>
    </row>
    <row r="503" spans="2:7" ht="28" x14ac:dyDescent="0.2">
      <c r="B503" s="15"/>
      <c r="C503" s="16" t="s">
        <v>404</v>
      </c>
      <c r="D503" s="17" t="s">
        <v>107</v>
      </c>
      <c r="E503" s="18">
        <v>1</v>
      </c>
      <c r="F503" s="86">
        <v>36671</v>
      </c>
      <c r="G503" s="78">
        <v>36671</v>
      </c>
    </row>
    <row r="504" spans="2:7" ht="28" x14ac:dyDescent="0.2">
      <c r="B504" s="15"/>
      <c r="C504" s="16" t="s">
        <v>405</v>
      </c>
      <c r="D504" s="17" t="s">
        <v>107</v>
      </c>
      <c r="E504" s="18">
        <v>1</v>
      </c>
      <c r="F504" s="86">
        <v>74546</v>
      </c>
      <c r="G504" s="78">
        <v>74546</v>
      </c>
    </row>
    <row r="505" spans="2:7" x14ac:dyDescent="0.2">
      <c r="B505" s="15"/>
      <c r="C505" s="16" t="s">
        <v>406</v>
      </c>
      <c r="D505" s="17" t="s">
        <v>107</v>
      </c>
      <c r="E505" s="18">
        <v>1</v>
      </c>
      <c r="F505" s="86">
        <v>48447</v>
      </c>
      <c r="G505" s="78">
        <v>48447</v>
      </c>
    </row>
    <row r="506" spans="2:7" x14ac:dyDescent="0.2">
      <c r="B506" s="21"/>
      <c r="C506" s="22"/>
      <c r="D506" s="23"/>
      <c r="E506" s="24"/>
      <c r="F506" s="25"/>
      <c r="G506" s="26"/>
    </row>
    <row r="507" spans="2:7" ht="17" thickBot="1" x14ac:dyDescent="0.25">
      <c r="B507" s="27"/>
      <c r="C507" s="28"/>
      <c r="D507" s="29"/>
      <c r="E507" s="30"/>
      <c r="F507" s="31" t="s">
        <v>407</v>
      </c>
      <c r="G507" s="32">
        <v>849575</v>
      </c>
    </row>
    <row r="508" spans="2:7" ht="17" thickBot="1" x14ac:dyDescent="0.25">
      <c r="B508" s="4"/>
      <c r="C508" s="33"/>
      <c r="D508" s="34"/>
      <c r="E508" s="35"/>
      <c r="F508" s="4"/>
      <c r="G508" s="36"/>
    </row>
    <row r="509" spans="2:7" x14ac:dyDescent="0.2">
      <c r="B509" s="10" t="s">
        <v>128</v>
      </c>
      <c r="C509" s="11" t="s">
        <v>408</v>
      </c>
      <c r="D509" s="12"/>
      <c r="E509" s="12"/>
      <c r="F509" s="13"/>
      <c r="G509" s="14">
        <v>56278</v>
      </c>
    </row>
    <row r="510" spans="2:7" x14ac:dyDescent="0.2">
      <c r="B510" s="80"/>
      <c r="C510" s="81"/>
      <c r="D510" s="82"/>
      <c r="E510" s="83"/>
      <c r="F510" s="84"/>
      <c r="G510" s="85"/>
    </row>
    <row r="511" spans="2:7" x14ac:dyDescent="0.2">
      <c r="B511" s="15"/>
      <c r="C511" s="16" t="s">
        <v>409</v>
      </c>
      <c r="D511" s="17" t="s">
        <v>107</v>
      </c>
      <c r="E511" s="18">
        <v>1</v>
      </c>
      <c r="F511" s="86">
        <v>56278</v>
      </c>
      <c r="G511" s="78">
        <v>56278</v>
      </c>
    </row>
    <row r="512" spans="2:7" x14ac:dyDescent="0.2">
      <c r="B512" s="87"/>
      <c r="C512" s="22" t="s">
        <v>410</v>
      </c>
      <c r="D512" s="23" t="s">
        <v>107</v>
      </c>
      <c r="E512" s="88"/>
      <c r="F512" s="25">
        <v>0</v>
      </c>
      <c r="G512" s="26">
        <v>0</v>
      </c>
    </row>
    <row r="513" spans="2:7" x14ac:dyDescent="0.2">
      <c r="B513" s="87"/>
      <c r="C513" s="22" t="s">
        <v>411</v>
      </c>
      <c r="D513" s="23" t="s">
        <v>107</v>
      </c>
      <c r="E513" s="88"/>
      <c r="F513" s="25">
        <v>0</v>
      </c>
      <c r="G513" s="26">
        <v>0</v>
      </c>
    </row>
    <row r="514" spans="2:7" x14ac:dyDescent="0.2">
      <c r="B514" s="87"/>
      <c r="C514" s="22" t="s">
        <v>412</v>
      </c>
      <c r="D514" s="23" t="s">
        <v>107</v>
      </c>
      <c r="E514" s="88"/>
      <c r="F514" s="25">
        <v>0</v>
      </c>
      <c r="G514" s="26">
        <v>0</v>
      </c>
    </row>
    <row r="515" spans="2:7" x14ac:dyDescent="0.2">
      <c r="B515" s="21"/>
      <c r="C515" s="22"/>
      <c r="D515" s="23"/>
      <c r="E515" s="24"/>
      <c r="F515" s="25"/>
      <c r="G515" s="26"/>
    </row>
    <row r="516" spans="2:7" ht="17" thickBot="1" x14ac:dyDescent="0.25">
      <c r="B516" s="27"/>
      <c r="C516" s="28"/>
      <c r="D516" s="29"/>
      <c r="E516" s="30"/>
      <c r="F516" s="31" t="s">
        <v>413</v>
      </c>
      <c r="G516" s="32">
        <v>56278</v>
      </c>
    </row>
    <row r="517" spans="2:7" ht="17" thickBot="1" x14ac:dyDescent="0.25">
      <c r="B517" s="4"/>
      <c r="C517" s="33"/>
      <c r="D517" s="34"/>
      <c r="E517" s="35"/>
      <c r="F517" s="4"/>
      <c r="G517" s="36"/>
    </row>
    <row r="518" spans="2:7" x14ac:dyDescent="0.2">
      <c r="B518" s="10" t="s">
        <v>128</v>
      </c>
      <c r="C518" s="11" t="s">
        <v>414</v>
      </c>
      <c r="D518" s="12"/>
      <c r="E518" s="12"/>
      <c r="F518" s="13"/>
      <c r="G518" s="14">
        <v>214275</v>
      </c>
    </row>
    <row r="519" spans="2:7" x14ac:dyDescent="0.2">
      <c r="B519" s="80"/>
      <c r="C519" s="81"/>
      <c r="D519" s="82"/>
      <c r="E519" s="83"/>
      <c r="F519" s="84"/>
      <c r="G519" s="85"/>
    </row>
    <row r="520" spans="2:7" x14ac:dyDescent="0.2">
      <c r="B520" s="15"/>
      <c r="C520" s="16" t="s">
        <v>415</v>
      </c>
      <c r="D520" s="17" t="s">
        <v>107</v>
      </c>
      <c r="E520" s="18">
        <v>1</v>
      </c>
      <c r="F520" s="86">
        <v>32032</v>
      </c>
      <c r="G520" s="78">
        <v>32032</v>
      </c>
    </row>
    <row r="521" spans="2:7" ht="28" x14ac:dyDescent="0.2">
      <c r="B521" s="15"/>
      <c r="C521" s="16" t="s">
        <v>416</v>
      </c>
      <c r="D521" s="17" t="s">
        <v>107</v>
      </c>
      <c r="E521" s="18">
        <v>1</v>
      </c>
      <c r="F521" s="86">
        <v>52269</v>
      </c>
      <c r="G521" s="78">
        <v>52269</v>
      </c>
    </row>
    <row r="522" spans="2:7" ht="28" x14ac:dyDescent="0.2">
      <c r="B522" s="15"/>
      <c r="C522" s="16" t="s">
        <v>417</v>
      </c>
      <c r="D522" s="17" t="s">
        <v>107</v>
      </c>
      <c r="E522" s="18">
        <v>1</v>
      </c>
      <c r="F522" s="86">
        <v>59359</v>
      </c>
      <c r="G522" s="78">
        <v>59359</v>
      </c>
    </row>
    <row r="523" spans="2:7" x14ac:dyDescent="0.2">
      <c r="B523" s="15"/>
      <c r="C523" s="16" t="s">
        <v>418</v>
      </c>
      <c r="D523" s="17" t="s">
        <v>107</v>
      </c>
      <c r="E523" s="18">
        <v>1</v>
      </c>
      <c r="F523" s="86">
        <v>27758</v>
      </c>
      <c r="G523" s="78">
        <v>27758</v>
      </c>
    </row>
    <row r="524" spans="2:7" x14ac:dyDescent="0.2">
      <c r="B524" s="15"/>
      <c r="C524" s="16" t="s">
        <v>419</v>
      </c>
      <c r="D524" s="17" t="s">
        <v>107</v>
      </c>
      <c r="E524" s="18">
        <v>1</v>
      </c>
      <c r="F524" s="86">
        <v>42857</v>
      </c>
      <c r="G524" s="78">
        <v>42857</v>
      </c>
    </row>
    <row r="525" spans="2:7" ht="28" x14ac:dyDescent="0.2">
      <c r="B525" s="15"/>
      <c r="C525" s="16" t="s">
        <v>420</v>
      </c>
      <c r="D525" s="17" t="s">
        <v>107</v>
      </c>
      <c r="E525" s="18">
        <v>1</v>
      </c>
      <c r="F525" s="86">
        <v>0</v>
      </c>
      <c r="G525" s="78">
        <v>0</v>
      </c>
    </row>
    <row r="526" spans="2:7" ht="28" x14ac:dyDescent="0.2">
      <c r="B526" s="87"/>
      <c r="C526" s="22" t="s">
        <v>421</v>
      </c>
      <c r="D526" s="23" t="s">
        <v>107</v>
      </c>
      <c r="E526" s="88">
        <v>1</v>
      </c>
      <c r="F526" s="25">
        <v>0</v>
      </c>
      <c r="G526" s="26">
        <v>0</v>
      </c>
    </row>
    <row r="527" spans="2:7" x14ac:dyDescent="0.2">
      <c r="B527" s="87"/>
      <c r="C527" s="22" t="s">
        <v>422</v>
      </c>
      <c r="D527" s="23" t="s">
        <v>107</v>
      </c>
      <c r="E527" s="88">
        <v>1</v>
      </c>
      <c r="F527" s="25">
        <v>0</v>
      </c>
      <c r="G527" s="26">
        <v>0</v>
      </c>
    </row>
    <row r="528" spans="2:7" x14ac:dyDescent="0.2">
      <c r="B528" s="87"/>
      <c r="C528" s="22" t="s">
        <v>423</v>
      </c>
      <c r="D528" s="23" t="s">
        <v>107</v>
      </c>
      <c r="E528" s="88">
        <v>1</v>
      </c>
      <c r="F528" s="25">
        <v>0</v>
      </c>
      <c r="G528" s="26">
        <v>0</v>
      </c>
    </row>
    <row r="529" spans="2:7" ht="28" x14ac:dyDescent="0.2">
      <c r="B529" s="87"/>
      <c r="C529" s="22" t="s">
        <v>424</v>
      </c>
      <c r="D529" s="23" t="s">
        <v>107</v>
      </c>
      <c r="E529" s="88">
        <v>1</v>
      </c>
      <c r="F529" s="25">
        <v>0</v>
      </c>
      <c r="G529" s="26">
        <v>0</v>
      </c>
    </row>
    <row r="530" spans="2:7" x14ac:dyDescent="0.2">
      <c r="B530" s="21"/>
      <c r="C530" s="22"/>
      <c r="D530" s="23"/>
      <c r="E530" s="24"/>
      <c r="F530" s="25"/>
      <c r="G530" s="26"/>
    </row>
    <row r="531" spans="2:7" ht="17" thickBot="1" x14ac:dyDescent="0.25">
      <c r="B531" s="27"/>
      <c r="C531" s="28"/>
      <c r="D531" s="29"/>
      <c r="E531" s="30"/>
      <c r="F531" s="31" t="s">
        <v>425</v>
      </c>
      <c r="G531" s="32">
        <v>214275</v>
      </c>
    </row>
    <row r="533" spans="2:7" x14ac:dyDescent="0.2">
      <c r="C533" s="90"/>
      <c r="D533" s="91"/>
      <c r="E533" s="91"/>
      <c r="F533" s="92" t="s">
        <v>426</v>
      </c>
      <c r="G533" s="93">
        <v>91536308</v>
      </c>
    </row>
    <row r="534" spans="2:7" x14ac:dyDescent="0.2">
      <c r="C534" s="94"/>
      <c r="D534" s="95"/>
      <c r="E534" s="96"/>
      <c r="F534" s="97"/>
      <c r="G534" s="98"/>
    </row>
    <row r="535" spans="2:7" x14ac:dyDescent="0.2">
      <c r="C535" s="99" t="s">
        <v>427</v>
      </c>
      <c r="D535" s="100"/>
      <c r="E535" s="101"/>
      <c r="F535" s="102"/>
      <c r="G535" s="103"/>
    </row>
    <row r="536" spans="2:7" x14ac:dyDescent="0.2">
      <c r="C536" s="104"/>
      <c r="D536" s="105"/>
      <c r="E536" s="105"/>
      <c r="F536" s="106" t="s">
        <v>426</v>
      </c>
      <c r="G536" s="107">
        <v>91536308</v>
      </c>
    </row>
    <row r="537" spans="2:7" x14ac:dyDescent="0.2">
      <c r="C537" s="108"/>
      <c r="D537" s="109"/>
      <c r="E537" s="110" t="s">
        <v>428</v>
      </c>
      <c r="F537" s="111">
        <v>0.09</v>
      </c>
      <c r="G537" s="112">
        <v>8238268</v>
      </c>
    </row>
    <row r="538" spans="2:7" x14ac:dyDescent="0.2">
      <c r="C538" s="113"/>
      <c r="D538" s="114"/>
      <c r="E538" s="115" t="s">
        <v>429</v>
      </c>
      <c r="F538" s="116">
        <v>0.03</v>
      </c>
      <c r="G538" s="117">
        <v>2746089</v>
      </c>
    </row>
    <row r="539" spans="2:7" x14ac:dyDescent="0.2">
      <c r="C539" s="113"/>
      <c r="D539" s="114"/>
      <c r="E539" s="115" t="s">
        <v>430</v>
      </c>
      <c r="F539" s="116">
        <v>0.05</v>
      </c>
      <c r="G539" s="117">
        <v>4576815</v>
      </c>
    </row>
    <row r="540" spans="2:7" x14ac:dyDescent="0.2">
      <c r="C540" s="118"/>
      <c r="D540" s="119"/>
      <c r="E540" s="120" t="s">
        <v>431</v>
      </c>
      <c r="F540" s="121">
        <v>0.16999999999999998</v>
      </c>
      <c r="G540" s="122">
        <v>15561172</v>
      </c>
    </row>
    <row r="541" spans="2:7" x14ac:dyDescent="0.2">
      <c r="C541" s="118"/>
      <c r="D541" s="119"/>
      <c r="E541" s="123" t="s">
        <v>432</v>
      </c>
      <c r="F541" s="124">
        <v>0.19</v>
      </c>
      <c r="G541" s="125">
        <v>869595</v>
      </c>
    </row>
    <row r="542" spans="2:7" x14ac:dyDescent="0.2">
      <c r="C542" s="126"/>
      <c r="D542" s="91"/>
      <c r="E542" s="91"/>
      <c r="F542" s="127" t="s">
        <v>433</v>
      </c>
      <c r="G542" s="128">
        <v>107967075</v>
      </c>
    </row>
    <row r="543" spans="2:7" x14ac:dyDescent="0.2">
      <c r="C543" s="97"/>
      <c r="D543" s="97"/>
      <c r="E543" s="97"/>
      <c r="F543" s="129"/>
      <c r="G543" s="130">
        <v>0</v>
      </c>
    </row>
    <row r="544" spans="2:7" x14ac:dyDescent="0.2">
      <c r="C544" s="131"/>
      <c r="D544" s="132"/>
      <c r="E544" s="133" t="s">
        <v>434</v>
      </c>
      <c r="F544" s="134">
        <v>0</v>
      </c>
      <c r="G544" s="135">
        <f>ROUND(G542*F544,0)</f>
        <v>0</v>
      </c>
    </row>
    <row r="545" spans="3:7" x14ac:dyDescent="0.2">
      <c r="C545" s="136"/>
      <c r="D545" s="137"/>
      <c r="E545" s="138"/>
      <c r="F545" s="139" t="s">
        <v>435</v>
      </c>
      <c r="G545" s="140">
        <f>G542+G544</f>
        <v>107967075</v>
      </c>
    </row>
    <row r="546" spans="3:7" x14ac:dyDescent="0.2">
      <c r="C546" s="56"/>
      <c r="D546" s="56"/>
      <c r="E546" s="56"/>
      <c r="F546" s="56"/>
      <c r="G546" s="8"/>
    </row>
    <row r="547" spans="3:7" x14ac:dyDescent="0.2">
      <c r="C547" s="141"/>
      <c r="D547" s="142"/>
      <c r="E547" s="143" t="s">
        <v>436</v>
      </c>
      <c r="F547" s="144">
        <v>0</v>
      </c>
      <c r="G547" s="145">
        <f>G545*F547</f>
        <v>0</v>
      </c>
    </row>
    <row r="548" spans="3:7" x14ac:dyDescent="0.2">
      <c r="C548" s="141"/>
      <c r="D548" s="142"/>
      <c r="E548" s="142"/>
      <c r="F548" s="146" t="s">
        <v>433</v>
      </c>
      <c r="G548" s="145">
        <f>G545+G547</f>
        <v>107967075</v>
      </c>
    </row>
    <row r="549" spans="3:7" x14ac:dyDescent="0.2">
      <c r="C549" s="56"/>
      <c r="D549" s="56"/>
      <c r="E549" s="56"/>
      <c r="F549" s="56"/>
      <c r="G549" s="8"/>
    </row>
    <row r="550" spans="3:7" x14ac:dyDescent="0.2">
      <c r="C550" s="528" t="s">
        <v>437</v>
      </c>
      <c r="D550" s="529"/>
      <c r="E550" s="529"/>
      <c r="F550" s="529"/>
      <c r="G550" s="530"/>
    </row>
    <row r="551" spans="3:7" x14ac:dyDescent="0.2">
      <c r="C551" s="531" t="s">
        <v>438</v>
      </c>
      <c r="D551" s="532"/>
      <c r="E551" s="532"/>
      <c r="F551" s="532"/>
      <c r="G551" s="533"/>
    </row>
    <row r="552" spans="3:7" x14ac:dyDescent="0.2">
      <c r="C552" s="534"/>
      <c r="D552" s="535"/>
      <c r="E552" s="535"/>
      <c r="F552" s="535"/>
      <c r="G552" s="536"/>
    </row>
  </sheetData>
  <mergeCells count="2">
    <mergeCell ref="C550:G550"/>
    <mergeCell ref="C551:G552"/>
  </mergeCells>
  <conditionalFormatting sqref="B5:C5">
    <cfRule type="cellIs" dxfId="43" priority="40" operator="equal">
      <formula>"ESCRIBA AQUÍ EL NOMBRE DEL CAPITULO"</formula>
    </cfRule>
  </conditionalFormatting>
  <conditionalFormatting sqref="B16:C16">
    <cfRule type="cellIs" dxfId="42" priority="41" operator="equal">
      <formula>"ESCRIBA AQUÍ EL NOMBRE DEL CAPITULO"</formula>
    </cfRule>
  </conditionalFormatting>
  <conditionalFormatting sqref="B27:C27">
    <cfRule type="cellIs" dxfId="41" priority="37" operator="equal">
      <formula>"ESCRIBA AQUÍ EL NOMBRE DEL CAPITULO"</formula>
    </cfRule>
  </conditionalFormatting>
  <conditionalFormatting sqref="B36:C36">
    <cfRule type="cellIs" dxfId="40" priority="39" operator="equal">
      <formula>"ESCRIBA AQUÍ EL NOMBRE DEL CAPITULO"</formula>
    </cfRule>
  </conditionalFormatting>
  <conditionalFormatting sqref="B45:C47">
    <cfRule type="cellIs" dxfId="39" priority="44" operator="equal">
      <formula>"ESCRIBA AQUÍ EL NOMBRE DEL CAPITULO"</formula>
    </cfRule>
  </conditionalFormatting>
  <conditionalFormatting sqref="B56:C58">
    <cfRule type="cellIs" dxfId="38" priority="48" operator="equal">
      <formula>"ESCRIBA AQUÍ EL NOMBRE DEL CAPITULO"</formula>
    </cfRule>
  </conditionalFormatting>
  <conditionalFormatting sqref="B67:C67">
    <cfRule type="cellIs" dxfId="37" priority="43" operator="equal">
      <formula>"ESCRIBA AQUÍ EL NOMBRE DEL CAPITULO"</formula>
    </cfRule>
  </conditionalFormatting>
  <conditionalFormatting sqref="B76:C76">
    <cfRule type="cellIs" dxfId="36" priority="46" operator="equal">
      <formula>"ESCRIBA AQUÍ EL NOMBRE DEL CAPITULO"</formula>
    </cfRule>
  </conditionalFormatting>
  <conditionalFormatting sqref="B85:C85">
    <cfRule type="cellIs" dxfId="35" priority="47" operator="equal">
      <formula>"ESCRIBA AQUÍ EL NOMBRE DEL CAPITULO"</formula>
    </cfRule>
  </conditionalFormatting>
  <conditionalFormatting sqref="B96:C96">
    <cfRule type="cellIs" dxfId="34" priority="35" operator="equal">
      <formula>"ESCRIBA AQUÍ EL NOMBRE DEL CAPITULO"</formula>
    </cfRule>
  </conditionalFormatting>
  <conditionalFormatting sqref="B107:C107">
    <cfRule type="cellIs" dxfId="33" priority="34" operator="equal">
      <formula>"ESCRIBA AQUÍ EL NOMBRE DEL CAPITULO"</formula>
    </cfRule>
  </conditionalFormatting>
  <conditionalFormatting sqref="B115:C115">
    <cfRule type="cellIs" dxfId="32" priority="33" operator="equal">
      <formula>"ESCRIBA AQUÍ EL NOMBRE DEL CAPITULO"</formula>
    </cfRule>
  </conditionalFormatting>
  <conditionalFormatting sqref="B123:C125">
    <cfRule type="cellIs" dxfId="31" priority="32" operator="equal">
      <formula>"ESCRIBA AQUÍ EL NOMBRE DEL CAPITULO"</formula>
    </cfRule>
  </conditionalFormatting>
  <conditionalFormatting sqref="B129:C129">
    <cfRule type="cellIs" dxfId="30" priority="31" operator="equal">
      <formula>"ESCRIBA AQUÍ EL NOMBRE DEL CAPITULO"</formula>
    </cfRule>
  </conditionalFormatting>
  <conditionalFormatting sqref="B134:C134">
    <cfRule type="cellIs" dxfId="29" priority="30" operator="equal">
      <formula>"ESCRIBA AQUÍ EL NOMBRE DEL CAPITULO"</formula>
    </cfRule>
  </conditionalFormatting>
  <conditionalFormatting sqref="B140:C140">
    <cfRule type="cellIs" dxfId="28" priority="29" operator="equal">
      <formula>"ESCRIBA AQUÍ EL NOMBRE DEL CAPITULO"</formula>
    </cfRule>
  </conditionalFormatting>
  <conditionalFormatting sqref="B146:C146">
    <cfRule type="cellIs" dxfId="27" priority="28" operator="equal">
      <formula>"ESCRIBA AQUÍ EL NOMBRE DEL CAPITULO"</formula>
    </cfRule>
  </conditionalFormatting>
  <conditionalFormatting sqref="B161:C161">
    <cfRule type="cellIs" dxfId="26" priority="27" operator="equal">
      <formula>"ESCRIBA AQUÍ EL NOMBRE DEL CAPITULO"</formula>
    </cfRule>
  </conditionalFormatting>
  <conditionalFormatting sqref="B168:C168">
    <cfRule type="cellIs" dxfId="25" priority="8" operator="equal">
      <formula>"ESCRIBA AQUÍ EL NOMBRE DEL CAPITULO"</formula>
    </cfRule>
  </conditionalFormatting>
  <conditionalFormatting sqref="B173:C173">
    <cfRule type="cellIs" dxfId="24" priority="26" operator="equal">
      <formula>"ESCRIBA AQUÍ EL NOMBRE DEL CAPITULO"</formula>
    </cfRule>
  </conditionalFormatting>
  <conditionalFormatting sqref="B183:C183">
    <cfRule type="cellIs" dxfId="23" priority="25" operator="equal">
      <formula>"ESCRIBA AQUÍ EL NOMBRE DEL CAPITULO"</formula>
    </cfRule>
  </conditionalFormatting>
  <conditionalFormatting sqref="B193:C193">
    <cfRule type="cellIs" dxfId="22" priority="23" operator="equal">
      <formula>"ESCRIBA AQUÍ EL NOMBRE DEL CAPITULO"</formula>
    </cfRule>
  </conditionalFormatting>
  <conditionalFormatting sqref="B204:C204">
    <cfRule type="cellIs" dxfId="21" priority="13" operator="equal">
      <formula>"ESCRIBA AQUÍ EL NOMBRE DEL CAPITULO"</formula>
    </cfRule>
  </conditionalFormatting>
  <conditionalFormatting sqref="B213:C213">
    <cfRule type="cellIs" dxfId="20" priority="24" operator="equal">
      <formula>"ESCRIBA AQUÍ EL NOMBRE DEL CAPITULO"</formula>
    </cfRule>
  </conditionalFormatting>
  <conditionalFormatting sqref="B228:C228">
    <cfRule type="cellIs" dxfId="19" priority="12" operator="equal">
      <formula>"ESCRIBA AQUÍ EL NOMBRE DEL CAPITULO"</formula>
    </cfRule>
  </conditionalFormatting>
  <conditionalFormatting sqref="B243:C243">
    <cfRule type="cellIs" dxfId="18" priority="14" operator="equal">
      <formula>"ESCRIBA AQUÍ EL NOMBRE DEL CAPITULO"</formula>
    </cfRule>
  </conditionalFormatting>
  <conditionalFormatting sqref="B258:C258">
    <cfRule type="cellIs" dxfId="17" priority="15" operator="equal">
      <formula>"ESCRIBA AQUÍ EL NOMBRE DEL CAPITULO"</formula>
    </cfRule>
  </conditionalFormatting>
  <conditionalFormatting sqref="B317:C317">
    <cfRule type="cellIs" dxfId="16" priority="16" operator="equal">
      <formula>"ESCRIBA AQUÍ EL NOMBRE DEL CAPITULO"</formula>
    </cfRule>
  </conditionalFormatting>
  <conditionalFormatting sqref="B327:C327">
    <cfRule type="cellIs" dxfId="15" priority="17" operator="equal">
      <formula>"ESCRIBA AQUÍ EL NOMBRE DEL CAPITULO"</formula>
    </cfRule>
  </conditionalFormatting>
  <conditionalFormatting sqref="B332:C332">
    <cfRule type="cellIs" dxfId="14" priority="18" operator="equal">
      <formula>"ESCRIBA AQUÍ EL NOMBRE DEL CAPITULO"</formula>
    </cfRule>
  </conditionalFormatting>
  <conditionalFormatting sqref="B354:C354">
    <cfRule type="cellIs" dxfId="13" priority="19" operator="equal">
      <formula>"ESCRIBA AQUÍ EL NOMBRE DEL CAPITULO"</formula>
    </cfRule>
  </conditionalFormatting>
  <conditionalFormatting sqref="B375:C375">
    <cfRule type="cellIs" dxfId="12" priority="20" operator="equal">
      <formula>"ESCRIBA AQUÍ EL NOMBRE DEL CAPITULO"</formula>
    </cfRule>
  </conditionalFormatting>
  <conditionalFormatting sqref="B404:C404">
    <cfRule type="cellIs" dxfId="11" priority="21" operator="equal">
      <formula>"ESCRIBA AQUÍ EL NOMBRE DEL CAPITULO"</formula>
    </cfRule>
  </conditionalFormatting>
  <conditionalFormatting sqref="B413:C413">
    <cfRule type="cellIs" dxfId="10" priority="22" operator="equal">
      <formula>"ESCRIBA AQUÍ EL NOMBRE DEL CAPITULO"</formula>
    </cfRule>
  </conditionalFormatting>
  <conditionalFormatting sqref="B424:C424">
    <cfRule type="cellIs" dxfId="9" priority="11" operator="equal">
      <formula>"ESCRIBA AQUÍ EL NOMBRE DEL CAPITULO"</formula>
    </cfRule>
  </conditionalFormatting>
  <conditionalFormatting sqref="B430:C430">
    <cfRule type="cellIs" dxfId="8" priority="10" operator="equal">
      <formula>"ESCRIBA AQUÍ EL NOMBRE DEL CAPITULO"</formula>
    </cfRule>
  </conditionalFormatting>
  <conditionalFormatting sqref="B459:C459">
    <cfRule type="cellIs" dxfId="7" priority="9" operator="equal">
      <formula>"ESCRIBA AQUÍ EL NOMBRE DEL CAPITULO"</formula>
    </cfRule>
  </conditionalFormatting>
  <conditionalFormatting sqref="B488:C488">
    <cfRule type="cellIs" dxfId="6" priority="7" operator="equal">
      <formula>"ESCRIBA AQUÍ EL NOMBRE DEL CAPITULO"</formula>
    </cfRule>
  </conditionalFormatting>
  <conditionalFormatting sqref="B509:C509">
    <cfRule type="cellIs" dxfId="5" priority="5" operator="equal">
      <formula>"ESCRIBA AQUÍ EL NOMBRE DEL CAPITULO"</formula>
    </cfRule>
  </conditionalFormatting>
  <conditionalFormatting sqref="B518:C518">
    <cfRule type="cellIs" dxfId="4" priority="6" operator="equal">
      <formula>"ESCRIBA AQUÍ EL NOMBRE DEL CAPITULO"</formula>
    </cfRule>
  </conditionalFormatting>
  <conditionalFormatting sqref="G542">
    <cfRule type="expression" dxfId="3" priority="2" stopIfTrue="1">
      <formula>"&lt;G29"""</formula>
    </cfRule>
    <cfRule type="expression" dxfId="2" priority="1" stopIfTrue="1">
      <formula>"&gt;G29"</formula>
    </cfRule>
  </conditionalFormatting>
  <conditionalFormatting sqref="G543">
    <cfRule type="cellIs" dxfId="1" priority="4" stopIfTrue="1" operator="equal">
      <formula>0</formula>
    </cfRule>
    <cfRule type="cellIs" dxfId="0" priority="3" stopIfTrue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3F58-0F40-E64D-AA06-AD13C258CE5F}">
  <dimension ref="B2:G4182"/>
  <sheetViews>
    <sheetView topLeftCell="A24" workbookViewId="0">
      <selection activeCell="B21" sqref="B21"/>
    </sheetView>
  </sheetViews>
  <sheetFormatPr baseColWidth="10" defaultRowHeight="16" x14ac:dyDescent="0.2"/>
  <sheetData>
    <row r="2" spans="2:7" ht="17" thickBot="1" x14ac:dyDescent="0.25"/>
    <row r="3" spans="2:7" ht="17" thickTop="1" x14ac:dyDescent="0.2">
      <c r="B3" s="537" t="s">
        <v>7</v>
      </c>
      <c r="C3" s="538"/>
      <c r="D3" s="538"/>
      <c r="E3" s="538"/>
      <c r="F3" s="148"/>
      <c r="G3" s="149" t="s">
        <v>439</v>
      </c>
    </row>
    <row r="4" spans="2:7" x14ac:dyDescent="0.2">
      <c r="B4" s="539"/>
      <c r="C4" s="540"/>
      <c r="D4" s="540"/>
      <c r="E4" s="540"/>
      <c r="F4" s="150"/>
      <c r="G4" s="151" t="s">
        <v>440</v>
      </c>
    </row>
    <row r="5" spans="2:7" x14ac:dyDescent="0.2">
      <c r="B5" s="152" t="s">
        <v>1</v>
      </c>
      <c r="C5" s="153" t="s">
        <v>2</v>
      </c>
      <c r="D5" s="153" t="s">
        <v>3</v>
      </c>
      <c r="E5" s="153" t="s">
        <v>441</v>
      </c>
      <c r="F5" s="154" t="s">
        <v>442</v>
      </c>
      <c r="G5" s="155" t="s">
        <v>443</v>
      </c>
    </row>
    <row r="6" spans="2:7" x14ac:dyDescent="0.2">
      <c r="B6" s="157"/>
      <c r="C6" s="158"/>
      <c r="D6" s="156"/>
      <c r="E6" s="156"/>
      <c r="F6" s="159"/>
      <c r="G6" s="160"/>
    </row>
    <row r="7" spans="2:7" x14ac:dyDescent="0.2">
      <c r="B7" s="161" t="s">
        <v>444</v>
      </c>
      <c r="C7" s="158"/>
      <c r="D7" s="156"/>
      <c r="E7" s="156"/>
      <c r="F7" s="159"/>
      <c r="G7" s="160"/>
    </row>
    <row r="8" spans="2:7" x14ac:dyDescent="0.2">
      <c r="B8" s="162" t="s">
        <v>445</v>
      </c>
      <c r="C8" s="163" t="s">
        <v>2</v>
      </c>
      <c r="D8" s="164">
        <v>0.33</v>
      </c>
      <c r="E8" s="165">
        <v>14.04</v>
      </c>
      <c r="F8" s="166">
        <v>174928.81</v>
      </c>
      <c r="G8" s="167">
        <v>65403.35</v>
      </c>
    </row>
    <row r="9" spans="2:7" x14ac:dyDescent="0.2">
      <c r="B9" s="168"/>
      <c r="C9" s="169"/>
      <c r="D9" s="170"/>
      <c r="E9" s="170"/>
      <c r="F9" s="171"/>
      <c r="G9" s="172"/>
    </row>
    <row r="10" spans="2:7" x14ac:dyDescent="0.2">
      <c r="B10" s="157"/>
      <c r="C10" s="158"/>
      <c r="D10" s="156"/>
      <c r="E10" s="156"/>
      <c r="F10" s="159" t="s">
        <v>446</v>
      </c>
      <c r="G10" s="173">
        <v>65403.35</v>
      </c>
    </row>
    <row r="11" spans="2:7" x14ac:dyDescent="0.2">
      <c r="B11" s="161" t="s">
        <v>447</v>
      </c>
      <c r="C11" s="158"/>
      <c r="D11" s="156"/>
      <c r="E11" s="156"/>
      <c r="F11" s="159"/>
      <c r="G11" s="160"/>
    </row>
    <row r="12" spans="2:7" x14ac:dyDescent="0.2">
      <c r="B12" s="174" t="s">
        <v>448</v>
      </c>
      <c r="C12" s="175" t="s">
        <v>2</v>
      </c>
      <c r="D12" s="176">
        <v>6.3159999999999998</v>
      </c>
      <c r="E12" s="177"/>
      <c r="F12" s="178">
        <v>1208.1199999999999</v>
      </c>
      <c r="G12" s="179">
        <v>7630.23</v>
      </c>
    </row>
    <row r="13" spans="2:7" x14ac:dyDescent="0.2">
      <c r="B13" s="180"/>
      <c r="C13" s="169"/>
      <c r="D13" s="181"/>
      <c r="E13" s="170"/>
      <c r="F13" s="171"/>
      <c r="G13" s="182"/>
    </row>
    <row r="14" spans="2:7" x14ac:dyDescent="0.2">
      <c r="B14" s="157"/>
      <c r="C14" s="158"/>
      <c r="D14" s="156"/>
      <c r="E14" s="156"/>
      <c r="F14" s="159" t="s">
        <v>449</v>
      </c>
      <c r="G14" s="183">
        <v>7630.23</v>
      </c>
    </row>
    <row r="15" spans="2:7" x14ac:dyDescent="0.2">
      <c r="B15" s="161" t="s">
        <v>450</v>
      </c>
      <c r="C15" s="158"/>
      <c r="D15" s="156"/>
      <c r="E15" s="156"/>
      <c r="F15" s="159"/>
      <c r="G15" s="160"/>
    </row>
    <row r="16" spans="2:7" x14ac:dyDescent="0.2">
      <c r="B16" s="184" t="s">
        <v>451</v>
      </c>
      <c r="C16" s="185" t="s">
        <v>2</v>
      </c>
      <c r="D16" s="178">
        <v>78149.36</v>
      </c>
      <c r="E16" s="186"/>
      <c r="F16" s="187">
        <v>0.02</v>
      </c>
      <c r="G16" s="188">
        <v>1562.98</v>
      </c>
    </row>
    <row r="17" spans="2:7" x14ac:dyDescent="0.2">
      <c r="B17" s="157"/>
      <c r="C17" s="158"/>
      <c r="D17" s="156"/>
      <c r="E17" s="156"/>
      <c r="F17" s="159" t="s">
        <v>452</v>
      </c>
      <c r="G17" s="183">
        <v>1562.98</v>
      </c>
    </row>
    <row r="18" spans="2:7" x14ac:dyDescent="0.2">
      <c r="B18" s="161" t="s">
        <v>453</v>
      </c>
      <c r="C18" s="158"/>
      <c r="D18" s="156"/>
      <c r="E18" s="156"/>
      <c r="F18" s="159"/>
      <c r="G18" s="160"/>
    </row>
    <row r="19" spans="2:7" x14ac:dyDescent="0.2">
      <c r="B19" s="189" t="s">
        <v>454</v>
      </c>
      <c r="C19" s="190" t="s">
        <v>2</v>
      </c>
      <c r="D19" s="191">
        <v>4.2000000000000003E-2</v>
      </c>
      <c r="E19" s="192"/>
      <c r="F19" s="193">
        <v>121500</v>
      </c>
      <c r="G19" s="194">
        <v>5115.78</v>
      </c>
    </row>
    <row r="20" spans="2:7" x14ac:dyDescent="0.2">
      <c r="B20" s="195" t="s">
        <v>455</v>
      </c>
      <c r="C20" s="196" t="s">
        <v>456</v>
      </c>
      <c r="D20" s="178">
        <v>78149.36</v>
      </c>
      <c r="E20" s="197"/>
      <c r="F20" s="198"/>
      <c r="G20" s="199" t="s">
        <v>457</v>
      </c>
    </row>
    <row r="21" spans="2:7" x14ac:dyDescent="0.2">
      <c r="B21" s="200" t="s">
        <v>458</v>
      </c>
      <c r="C21" s="201" t="s">
        <v>456</v>
      </c>
      <c r="D21" s="178">
        <v>78149.36</v>
      </c>
      <c r="E21" s="202"/>
      <c r="F21" s="203"/>
      <c r="G21" s="204" t="s">
        <v>457</v>
      </c>
    </row>
    <row r="22" spans="2:7" x14ac:dyDescent="0.2">
      <c r="B22" s="180"/>
      <c r="C22" s="169"/>
      <c r="D22" s="205"/>
      <c r="E22" s="170"/>
      <c r="F22" s="171"/>
      <c r="G22" s="182"/>
    </row>
    <row r="23" spans="2:7" x14ac:dyDescent="0.2">
      <c r="B23" s="157"/>
      <c r="C23" s="158"/>
      <c r="D23" s="156"/>
      <c r="E23" s="156"/>
      <c r="F23" s="159" t="s">
        <v>459</v>
      </c>
      <c r="G23" s="183">
        <v>5115.78</v>
      </c>
    </row>
    <row r="24" spans="2:7" x14ac:dyDescent="0.2">
      <c r="B24" s="157"/>
      <c r="C24" s="158"/>
      <c r="D24" s="156"/>
      <c r="E24" s="156"/>
      <c r="F24" s="159"/>
      <c r="G24" s="160"/>
    </row>
    <row r="25" spans="2:7" ht="17" thickBot="1" x14ac:dyDescent="0.25">
      <c r="B25" s="206"/>
      <c r="C25" s="207"/>
      <c r="D25" s="208"/>
      <c r="E25" s="209" t="s">
        <v>460</v>
      </c>
      <c r="F25" s="210" t="s">
        <v>461</v>
      </c>
      <c r="G25" s="211">
        <v>79712</v>
      </c>
    </row>
    <row r="26" spans="2:7" ht="17" thickTop="1" x14ac:dyDescent="0.2">
      <c r="B26" s="212"/>
      <c r="C26" s="213"/>
      <c r="D26" s="212"/>
      <c r="E26" s="212"/>
      <c r="F26" s="212"/>
      <c r="G26" s="212"/>
    </row>
    <row r="27" spans="2:7" ht="17" thickBot="1" x14ac:dyDescent="0.25">
      <c r="B27" s="212"/>
      <c r="C27" s="213"/>
      <c r="D27" s="212"/>
      <c r="E27" s="212"/>
      <c r="F27" s="212"/>
      <c r="G27" s="212"/>
    </row>
    <row r="28" spans="2:7" ht="17" thickTop="1" x14ac:dyDescent="0.2">
      <c r="B28" s="537" t="s">
        <v>9</v>
      </c>
      <c r="C28" s="538"/>
      <c r="D28" s="538"/>
      <c r="E28" s="538"/>
      <c r="F28" s="148"/>
      <c r="G28" s="149" t="s">
        <v>439</v>
      </c>
    </row>
    <row r="29" spans="2:7" x14ac:dyDescent="0.2">
      <c r="B29" s="539"/>
      <c r="C29" s="540"/>
      <c r="D29" s="540"/>
      <c r="E29" s="540"/>
      <c r="F29" s="150"/>
      <c r="G29" s="151" t="s">
        <v>462</v>
      </c>
    </row>
    <row r="30" spans="2:7" x14ac:dyDescent="0.2">
      <c r="B30" s="152" t="s">
        <v>1</v>
      </c>
      <c r="C30" s="153" t="s">
        <v>2</v>
      </c>
      <c r="D30" s="153" t="s">
        <v>3</v>
      </c>
      <c r="E30" s="153" t="s">
        <v>441</v>
      </c>
      <c r="F30" s="154" t="s">
        <v>442</v>
      </c>
      <c r="G30" s="155" t="s">
        <v>443</v>
      </c>
    </row>
    <row r="31" spans="2:7" x14ac:dyDescent="0.2">
      <c r="B31" s="157"/>
      <c r="C31" s="158"/>
      <c r="D31" s="156"/>
      <c r="E31" s="156"/>
      <c r="F31" s="159"/>
      <c r="G31" s="160"/>
    </row>
    <row r="32" spans="2:7" x14ac:dyDescent="0.2">
      <c r="B32" s="161" t="s">
        <v>444</v>
      </c>
      <c r="C32" s="158"/>
      <c r="D32" s="156"/>
      <c r="E32" s="156"/>
      <c r="F32" s="159"/>
      <c r="G32" s="160"/>
    </row>
    <row r="33" spans="2:7" x14ac:dyDescent="0.2">
      <c r="B33" s="162" t="s">
        <v>445</v>
      </c>
      <c r="C33" s="163" t="s">
        <v>2</v>
      </c>
      <c r="D33" s="164">
        <v>0.27</v>
      </c>
      <c r="E33" s="165">
        <v>14.04</v>
      </c>
      <c r="F33" s="166">
        <v>174928.81</v>
      </c>
      <c r="G33" s="167">
        <v>54145.39</v>
      </c>
    </row>
    <row r="34" spans="2:7" x14ac:dyDescent="0.2">
      <c r="B34" s="168"/>
      <c r="C34" s="169"/>
      <c r="D34" s="170"/>
      <c r="E34" s="170"/>
      <c r="F34" s="171"/>
      <c r="G34" s="172"/>
    </row>
    <row r="35" spans="2:7" x14ac:dyDescent="0.2">
      <c r="B35" s="157"/>
      <c r="C35" s="158"/>
      <c r="D35" s="156"/>
      <c r="E35" s="156"/>
      <c r="F35" s="159" t="s">
        <v>446</v>
      </c>
      <c r="G35" s="173">
        <v>54145.39</v>
      </c>
    </row>
    <row r="36" spans="2:7" x14ac:dyDescent="0.2">
      <c r="B36" s="161" t="s">
        <v>447</v>
      </c>
      <c r="C36" s="158"/>
      <c r="D36" s="156"/>
      <c r="E36" s="156"/>
      <c r="F36" s="159"/>
      <c r="G36" s="160"/>
    </row>
    <row r="37" spans="2:7" x14ac:dyDescent="0.2">
      <c r="B37" s="174" t="s">
        <v>448</v>
      </c>
      <c r="C37" s="175" t="s">
        <v>2</v>
      </c>
      <c r="D37" s="176">
        <v>6.3159999999999998</v>
      </c>
      <c r="E37" s="177"/>
      <c r="F37" s="214">
        <v>1208.1199999999999</v>
      </c>
      <c r="G37" s="179">
        <v>7630.23</v>
      </c>
    </row>
    <row r="38" spans="2:7" x14ac:dyDescent="0.2">
      <c r="B38" s="180"/>
      <c r="C38" s="169"/>
      <c r="D38" s="181"/>
      <c r="E38" s="170"/>
      <c r="F38" s="171"/>
      <c r="G38" s="182"/>
    </row>
    <row r="39" spans="2:7" x14ac:dyDescent="0.2">
      <c r="B39" s="157"/>
      <c r="C39" s="158"/>
      <c r="D39" s="156"/>
      <c r="E39" s="156"/>
      <c r="F39" s="159" t="s">
        <v>449</v>
      </c>
      <c r="G39" s="183">
        <v>7630.23</v>
      </c>
    </row>
    <row r="40" spans="2:7" x14ac:dyDescent="0.2">
      <c r="B40" s="161" t="s">
        <v>450</v>
      </c>
      <c r="C40" s="158"/>
      <c r="D40" s="156"/>
      <c r="E40" s="156"/>
      <c r="F40" s="159"/>
      <c r="G40" s="160"/>
    </row>
    <row r="41" spans="2:7" x14ac:dyDescent="0.2">
      <c r="B41" s="184" t="s">
        <v>451</v>
      </c>
      <c r="C41" s="185" t="s">
        <v>2</v>
      </c>
      <c r="D41" s="178">
        <v>66891.399999999994</v>
      </c>
      <c r="E41" s="186"/>
      <c r="F41" s="187">
        <v>0.02</v>
      </c>
      <c r="G41" s="188">
        <v>1337.82</v>
      </c>
    </row>
    <row r="42" spans="2:7" x14ac:dyDescent="0.2">
      <c r="B42" s="157"/>
      <c r="C42" s="158"/>
      <c r="D42" s="156"/>
      <c r="E42" s="156"/>
      <c r="F42" s="159" t="s">
        <v>452</v>
      </c>
      <c r="G42" s="183">
        <v>1337.82</v>
      </c>
    </row>
    <row r="43" spans="2:7" x14ac:dyDescent="0.2">
      <c r="B43" s="161" t="s">
        <v>453</v>
      </c>
      <c r="C43" s="158"/>
      <c r="D43" s="156"/>
      <c r="E43" s="156"/>
      <c r="F43" s="159"/>
      <c r="G43" s="160"/>
    </row>
    <row r="44" spans="2:7" x14ac:dyDescent="0.2">
      <c r="B44" s="189" t="s">
        <v>454</v>
      </c>
      <c r="C44" s="190" t="s">
        <v>2</v>
      </c>
      <c r="D44" s="191">
        <v>4.2000000000000003E-2</v>
      </c>
      <c r="E44" s="192"/>
      <c r="F44" s="193">
        <v>121500</v>
      </c>
      <c r="G44" s="194">
        <v>5115.78</v>
      </c>
    </row>
    <row r="45" spans="2:7" x14ac:dyDescent="0.2">
      <c r="B45" s="195" t="s">
        <v>455</v>
      </c>
      <c r="C45" s="196" t="s">
        <v>456</v>
      </c>
      <c r="D45" s="178">
        <v>66891.399999999994</v>
      </c>
      <c r="E45" s="197"/>
      <c r="F45" s="198"/>
      <c r="G45" s="199" t="s">
        <v>457</v>
      </c>
    </row>
    <row r="46" spans="2:7" x14ac:dyDescent="0.2">
      <c r="B46" s="200" t="s">
        <v>458</v>
      </c>
      <c r="C46" s="201" t="s">
        <v>456</v>
      </c>
      <c r="D46" s="178">
        <v>66891.399999999994</v>
      </c>
      <c r="E46" s="202"/>
      <c r="F46" s="203"/>
      <c r="G46" s="204" t="s">
        <v>457</v>
      </c>
    </row>
    <row r="47" spans="2:7" x14ac:dyDescent="0.2">
      <c r="B47" s="180"/>
      <c r="C47" s="169"/>
      <c r="D47" s="205"/>
      <c r="E47" s="170"/>
      <c r="F47" s="171"/>
      <c r="G47" s="182"/>
    </row>
    <row r="48" spans="2:7" x14ac:dyDescent="0.2">
      <c r="B48" s="157"/>
      <c r="C48" s="158"/>
      <c r="D48" s="156"/>
      <c r="E48" s="156"/>
      <c r="F48" s="159" t="s">
        <v>459</v>
      </c>
      <c r="G48" s="183">
        <v>5115.78</v>
      </c>
    </row>
    <row r="49" spans="2:7" x14ac:dyDescent="0.2">
      <c r="B49" s="157"/>
      <c r="C49" s="158"/>
      <c r="D49" s="156"/>
      <c r="E49" s="156"/>
      <c r="F49" s="159"/>
      <c r="G49" s="160"/>
    </row>
    <row r="50" spans="2:7" ht="17" thickBot="1" x14ac:dyDescent="0.25">
      <c r="B50" s="206"/>
      <c r="C50" s="207"/>
      <c r="D50" s="208"/>
      <c r="E50" s="209" t="s">
        <v>460</v>
      </c>
      <c r="F50" s="210" t="s">
        <v>461</v>
      </c>
      <c r="G50" s="211">
        <v>68229</v>
      </c>
    </row>
    <row r="51" spans="2:7" ht="17" thickTop="1" x14ac:dyDescent="0.2">
      <c r="B51" s="212"/>
      <c r="C51" s="213"/>
      <c r="D51" s="212"/>
      <c r="E51" s="212"/>
      <c r="F51" s="212"/>
      <c r="G51" s="212"/>
    </row>
    <row r="52" spans="2:7" ht="17" thickBot="1" x14ac:dyDescent="0.25">
      <c r="B52" s="212"/>
      <c r="C52" s="213"/>
      <c r="D52" s="212"/>
      <c r="E52" s="212"/>
      <c r="F52" s="212"/>
      <c r="G52" s="212"/>
    </row>
    <row r="53" spans="2:7" ht="17" thickTop="1" x14ac:dyDescent="0.2">
      <c r="B53" s="537" t="s">
        <v>10</v>
      </c>
      <c r="C53" s="538"/>
      <c r="D53" s="538"/>
      <c r="E53" s="538"/>
      <c r="F53" s="148"/>
      <c r="G53" s="149" t="s">
        <v>439</v>
      </c>
    </row>
    <row r="54" spans="2:7" x14ac:dyDescent="0.2">
      <c r="B54" s="539"/>
      <c r="C54" s="540"/>
      <c r="D54" s="540"/>
      <c r="E54" s="540"/>
      <c r="F54" s="150"/>
      <c r="G54" s="151" t="s">
        <v>463</v>
      </c>
    </row>
    <row r="55" spans="2:7" x14ac:dyDescent="0.2">
      <c r="B55" s="152" t="s">
        <v>1</v>
      </c>
      <c r="C55" s="153" t="s">
        <v>2</v>
      </c>
      <c r="D55" s="153" t="s">
        <v>3</v>
      </c>
      <c r="E55" s="153" t="s">
        <v>441</v>
      </c>
      <c r="F55" s="154" t="s">
        <v>442</v>
      </c>
      <c r="G55" s="155" t="s">
        <v>443</v>
      </c>
    </row>
    <row r="56" spans="2:7" x14ac:dyDescent="0.2">
      <c r="B56" s="157"/>
      <c r="C56" s="158"/>
      <c r="D56" s="156"/>
      <c r="E56" s="156"/>
      <c r="F56" s="159"/>
      <c r="G56" s="160"/>
    </row>
    <row r="57" spans="2:7" x14ac:dyDescent="0.2">
      <c r="B57" s="161" t="s">
        <v>444</v>
      </c>
      <c r="C57" s="158"/>
      <c r="D57" s="156"/>
      <c r="E57" s="156"/>
      <c r="F57" s="159"/>
      <c r="G57" s="160"/>
    </row>
    <row r="58" spans="2:7" x14ac:dyDescent="0.2">
      <c r="B58" s="162" t="s">
        <v>445</v>
      </c>
      <c r="C58" s="163" t="s">
        <v>2</v>
      </c>
      <c r="D58" s="164">
        <v>0.22</v>
      </c>
      <c r="E58" s="165">
        <v>14.04</v>
      </c>
      <c r="F58" s="166">
        <v>174928.81</v>
      </c>
      <c r="G58" s="167">
        <v>43959.62</v>
      </c>
    </row>
    <row r="59" spans="2:7" x14ac:dyDescent="0.2">
      <c r="B59" s="168"/>
      <c r="C59" s="169"/>
      <c r="D59" s="170"/>
      <c r="E59" s="170"/>
      <c r="F59" s="171"/>
      <c r="G59" s="172"/>
    </row>
    <row r="60" spans="2:7" x14ac:dyDescent="0.2">
      <c r="B60" s="157"/>
      <c r="C60" s="158"/>
      <c r="D60" s="156"/>
      <c r="E60" s="156"/>
      <c r="F60" s="159" t="s">
        <v>446</v>
      </c>
      <c r="G60" s="173">
        <v>43959.62</v>
      </c>
    </row>
    <row r="61" spans="2:7" x14ac:dyDescent="0.2">
      <c r="B61" s="161" t="s">
        <v>447</v>
      </c>
      <c r="C61" s="158"/>
      <c r="D61" s="156"/>
      <c r="E61" s="156"/>
      <c r="F61" s="159"/>
      <c r="G61" s="160"/>
    </row>
    <row r="62" spans="2:7" x14ac:dyDescent="0.2">
      <c r="B62" s="174" t="s">
        <v>448</v>
      </c>
      <c r="C62" s="175" t="s">
        <v>2</v>
      </c>
      <c r="D62" s="176">
        <v>6.3159999999999998</v>
      </c>
      <c r="E62" s="177"/>
      <c r="F62" s="214">
        <v>1208.1199999999999</v>
      </c>
      <c r="G62" s="179">
        <v>7630.23</v>
      </c>
    </row>
    <row r="63" spans="2:7" x14ac:dyDescent="0.2">
      <c r="B63" s="180"/>
      <c r="C63" s="169"/>
      <c r="D63" s="181"/>
      <c r="E63" s="170"/>
      <c r="F63" s="171"/>
      <c r="G63" s="182"/>
    </row>
    <row r="64" spans="2:7" x14ac:dyDescent="0.2">
      <c r="B64" s="157"/>
      <c r="C64" s="158"/>
      <c r="D64" s="156"/>
      <c r="E64" s="156"/>
      <c r="F64" s="159" t="s">
        <v>449</v>
      </c>
      <c r="G64" s="183">
        <v>7630.23</v>
      </c>
    </row>
    <row r="65" spans="2:7" x14ac:dyDescent="0.2">
      <c r="B65" s="161" t="s">
        <v>450</v>
      </c>
      <c r="C65" s="158"/>
      <c r="D65" s="156"/>
      <c r="E65" s="156"/>
      <c r="F65" s="159"/>
      <c r="G65" s="160"/>
    </row>
    <row r="66" spans="2:7" x14ac:dyDescent="0.2">
      <c r="B66" s="184" t="s">
        <v>451</v>
      </c>
      <c r="C66" s="185" t="s">
        <v>2</v>
      </c>
      <c r="D66" s="178">
        <v>56705.63</v>
      </c>
      <c r="E66" s="186"/>
      <c r="F66" s="187">
        <v>0.02</v>
      </c>
      <c r="G66" s="188">
        <v>1134.1099999999999</v>
      </c>
    </row>
    <row r="67" spans="2:7" x14ac:dyDescent="0.2">
      <c r="B67" s="157"/>
      <c r="C67" s="158"/>
      <c r="D67" s="156"/>
      <c r="E67" s="156"/>
      <c r="F67" s="159" t="s">
        <v>452</v>
      </c>
      <c r="G67" s="183">
        <v>1134.1099999999999</v>
      </c>
    </row>
    <row r="68" spans="2:7" x14ac:dyDescent="0.2">
      <c r="B68" s="161" t="s">
        <v>453</v>
      </c>
      <c r="C68" s="158"/>
      <c r="D68" s="156"/>
      <c r="E68" s="156"/>
      <c r="F68" s="159"/>
      <c r="G68" s="160"/>
    </row>
    <row r="69" spans="2:7" x14ac:dyDescent="0.2">
      <c r="B69" s="189" t="s">
        <v>454</v>
      </c>
      <c r="C69" s="190" t="s">
        <v>2</v>
      </c>
      <c r="D69" s="191">
        <v>4.2000000000000003E-2</v>
      </c>
      <c r="E69" s="192"/>
      <c r="F69" s="193">
        <v>121500</v>
      </c>
      <c r="G69" s="194">
        <v>5115.78</v>
      </c>
    </row>
    <row r="70" spans="2:7" x14ac:dyDescent="0.2">
      <c r="B70" s="195" t="s">
        <v>455</v>
      </c>
      <c r="C70" s="196" t="s">
        <v>456</v>
      </c>
      <c r="D70" s="178">
        <v>56705.63</v>
      </c>
      <c r="E70" s="197"/>
      <c r="F70" s="198"/>
      <c r="G70" s="199" t="s">
        <v>457</v>
      </c>
    </row>
    <row r="71" spans="2:7" x14ac:dyDescent="0.2">
      <c r="B71" s="200" t="s">
        <v>458</v>
      </c>
      <c r="C71" s="201" t="s">
        <v>456</v>
      </c>
      <c r="D71" s="178">
        <v>56705.63</v>
      </c>
      <c r="E71" s="202"/>
      <c r="F71" s="203"/>
      <c r="G71" s="204" t="s">
        <v>457</v>
      </c>
    </row>
    <row r="72" spans="2:7" x14ac:dyDescent="0.2">
      <c r="B72" s="180"/>
      <c r="C72" s="169"/>
      <c r="D72" s="205"/>
      <c r="E72" s="170"/>
      <c r="F72" s="171"/>
      <c r="G72" s="182"/>
    </row>
    <row r="73" spans="2:7" x14ac:dyDescent="0.2">
      <c r="B73" s="157"/>
      <c r="C73" s="158"/>
      <c r="D73" s="156"/>
      <c r="E73" s="156"/>
      <c r="F73" s="159" t="s">
        <v>459</v>
      </c>
      <c r="G73" s="183">
        <v>5115.78</v>
      </c>
    </row>
    <row r="74" spans="2:7" x14ac:dyDescent="0.2">
      <c r="B74" s="157"/>
      <c r="C74" s="158"/>
      <c r="D74" s="156"/>
      <c r="E74" s="156"/>
      <c r="F74" s="159"/>
      <c r="G74" s="160"/>
    </row>
    <row r="75" spans="2:7" ht="17" thickBot="1" x14ac:dyDescent="0.25">
      <c r="B75" s="206"/>
      <c r="C75" s="207"/>
      <c r="D75" s="208"/>
      <c r="E75" s="209" t="s">
        <v>460</v>
      </c>
      <c r="F75" s="210">
        <v>18724.23</v>
      </c>
      <c r="G75" s="211">
        <v>57840</v>
      </c>
    </row>
    <row r="76" spans="2:7" ht="17" thickTop="1" x14ac:dyDescent="0.2">
      <c r="B76" s="212"/>
      <c r="C76" s="213"/>
      <c r="D76" s="212"/>
      <c r="E76" s="212"/>
      <c r="F76" s="212"/>
      <c r="G76" s="212"/>
    </row>
    <row r="77" spans="2:7" ht="17" thickBot="1" x14ac:dyDescent="0.25">
      <c r="B77" s="212"/>
      <c r="C77" s="213"/>
      <c r="D77" s="212"/>
      <c r="E77" s="212"/>
      <c r="F77" s="212"/>
      <c r="G77" s="212"/>
    </row>
    <row r="78" spans="2:7" ht="17" thickTop="1" x14ac:dyDescent="0.2">
      <c r="B78" s="537" t="s">
        <v>11</v>
      </c>
      <c r="C78" s="538"/>
      <c r="D78" s="538"/>
      <c r="E78" s="538"/>
      <c r="F78" s="148"/>
      <c r="G78" s="149" t="s">
        <v>439</v>
      </c>
    </row>
    <row r="79" spans="2:7" x14ac:dyDescent="0.2">
      <c r="B79" s="539"/>
      <c r="C79" s="540"/>
      <c r="D79" s="540"/>
      <c r="E79" s="540"/>
      <c r="F79" s="150"/>
      <c r="G79" s="151" t="s">
        <v>464</v>
      </c>
    </row>
    <row r="80" spans="2:7" x14ac:dyDescent="0.2">
      <c r="B80" s="152" t="s">
        <v>1</v>
      </c>
      <c r="C80" s="153" t="s">
        <v>2</v>
      </c>
      <c r="D80" s="153" t="s">
        <v>3</v>
      </c>
      <c r="E80" s="153" t="s">
        <v>441</v>
      </c>
      <c r="F80" s="154" t="s">
        <v>442</v>
      </c>
      <c r="G80" s="155" t="s">
        <v>443</v>
      </c>
    </row>
    <row r="81" spans="2:7" x14ac:dyDescent="0.2">
      <c r="B81" s="157"/>
      <c r="C81" s="158"/>
      <c r="D81" s="156"/>
      <c r="E81" s="156"/>
      <c r="F81" s="159"/>
      <c r="G81" s="160"/>
    </row>
    <row r="82" spans="2:7" x14ac:dyDescent="0.2">
      <c r="B82" s="161" t="s">
        <v>444</v>
      </c>
      <c r="C82" s="158"/>
      <c r="D82" s="156"/>
      <c r="E82" s="156"/>
      <c r="F82" s="159"/>
      <c r="G82" s="160"/>
    </row>
    <row r="83" spans="2:7" x14ac:dyDescent="0.2">
      <c r="B83" s="162" t="s">
        <v>445</v>
      </c>
      <c r="C83" s="163" t="s">
        <v>2</v>
      </c>
      <c r="D83" s="164">
        <v>0.17</v>
      </c>
      <c r="E83" s="165">
        <v>14.04</v>
      </c>
      <c r="F83" s="166">
        <v>174928.81</v>
      </c>
      <c r="G83" s="167">
        <v>33237.760000000002</v>
      </c>
    </row>
    <row r="84" spans="2:7" x14ac:dyDescent="0.2">
      <c r="B84" s="200"/>
      <c r="C84" s="169"/>
      <c r="D84" s="170"/>
      <c r="E84" s="170"/>
      <c r="F84" s="171"/>
      <c r="G84" s="167"/>
    </row>
    <row r="85" spans="2:7" x14ac:dyDescent="0.2">
      <c r="B85" s="157"/>
      <c r="C85" s="158"/>
      <c r="D85" s="156"/>
      <c r="E85" s="156"/>
      <c r="F85" s="159" t="s">
        <v>446</v>
      </c>
      <c r="G85" s="173">
        <v>33237.760000000002</v>
      </c>
    </row>
    <row r="86" spans="2:7" x14ac:dyDescent="0.2">
      <c r="B86" s="161" t="s">
        <v>447</v>
      </c>
      <c r="C86" s="158"/>
      <c r="D86" s="156"/>
      <c r="E86" s="156"/>
      <c r="F86" s="159"/>
      <c r="G86" s="160"/>
    </row>
    <row r="87" spans="2:7" x14ac:dyDescent="0.2">
      <c r="B87" s="174" t="s">
        <v>448</v>
      </c>
      <c r="C87" s="175" t="s">
        <v>2</v>
      </c>
      <c r="D87" s="215">
        <v>4.2110000000000003</v>
      </c>
      <c r="E87" s="177"/>
      <c r="F87" s="214">
        <v>1208.1199999999999</v>
      </c>
      <c r="G87" s="179">
        <v>5086.82</v>
      </c>
    </row>
    <row r="88" spans="2:7" x14ac:dyDescent="0.2">
      <c r="B88" s="180"/>
      <c r="C88" s="169"/>
      <c r="D88" s="181"/>
      <c r="E88" s="170"/>
      <c r="F88" s="171"/>
      <c r="G88" s="182"/>
    </row>
    <row r="89" spans="2:7" x14ac:dyDescent="0.2">
      <c r="B89" s="157"/>
      <c r="C89" s="158"/>
      <c r="D89" s="156"/>
      <c r="E89" s="156"/>
      <c r="F89" s="159" t="s">
        <v>449</v>
      </c>
      <c r="G89" s="183">
        <v>5086.82</v>
      </c>
    </row>
    <row r="90" spans="2:7" x14ac:dyDescent="0.2">
      <c r="B90" s="161" t="s">
        <v>450</v>
      </c>
      <c r="C90" s="158"/>
      <c r="D90" s="156"/>
      <c r="E90" s="156"/>
      <c r="F90" s="159"/>
      <c r="G90" s="160"/>
    </row>
    <row r="91" spans="2:7" x14ac:dyDescent="0.2">
      <c r="B91" s="184" t="s">
        <v>451</v>
      </c>
      <c r="C91" s="185" t="s">
        <v>2</v>
      </c>
      <c r="D91" s="178">
        <v>39177.21</v>
      </c>
      <c r="E91" s="186"/>
      <c r="F91" s="187">
        <v>0.02</v>
      </c>
      <c r="G91" s="188">
        <v>783.54</v>
      </c>
    </row>
    <row r="92" spans="2:7" x14ac:dyDescent="0.2">
      <c r="B92" s="157"/>
      <c r="C92" s="158"/>
      <c r="D92" s="156"/>
      <c r="E92" s="156"/>
      <c r="F92" s="159" t="s">
        <v>452</v>
      </c>
      <c r="G92" s="183">
        <v>783.54</v>
      </c>
    </row>
    <row r="93" spans="2:7" x14ac:dyDescent="0.2">
      <c r="B93" s="161" t="s">
        <v>453</v>
      </c>
      <c r="C93" s="158"/>
      <c r="D93" s="156"/>
      <c r="E93" s="156"/>
      <c r="F93" s="159"/>
      <c r="G93" s="160"/>
    </row>
    <row r="94" spans="2:7" x14ac:dyDescent="0.2">
      <c r="B94" s="162" t="s">
        <v>454</v>
      </c>
      <c r="C94" s="190" t="s">
        <v>2</v>
      </c>
      <c r="D94" s="191">
        <v>7.0000000000000001E-3</v>
      </c>
      <c r="E94" s="192"/>
      <c r="F94" s="193">
        <v>121500</v>
      </c>
      <c r="G94" s="167">
        <v>852.63</v>
      </c>
    </row>
    <row r="95" spans="2:7" x14ac:dyDescent="0.2">
      <c r="B95" s="216" t="s">
        <v>455</v>
      </c>
      <c r="C95" s="196" t="s">
        <v>456</v>
      </c>
      <c r="D95" s="178">
        <v>39177.21</v>
      </c>
      <c r="E95" s="197"/>
      <c r="F95" s="198"/>
      <c r="G95" s="217" t="s">
        <v>465</v>
      </c>
    </row>
    <row r="96" spans="2:7" x14ac:dyDescent="0.2">
      <c r="B96" s="195" t="s">
        <v>458</v>
      </c>
      <c r="C96" s="201" t="s">
        <v>456</v>
      </c>
      <c r="D96" s="178">
        <v>39177.21</v>
      </c>
      <c r="E96" s="202"/>
      <c r="F96" s="203"/>
      <c r="G96" s="199" t="s">
        <v>457</v>
      </c>
    </row>
    <row r="97" spans="2:7" x14ac:dyDescent="0.2">
      <c r="B97" s="157"/>
      <c r="C97" s="158"/>
      <c r="D97" s="156"/>
      <c r="E97" s="156"/>
      <c r="F97" s="159" t="s">
        <v>459</v>
      </c>
      <c r="G97" s="173">
        <v>852.63</v>
      </c>
    </row>
    <row r="98" spans="2:7" x14ac:dyDescent="0.2">
      <c r="B98" s="157"/>
      <c r="C98" s="158"/>
      <c r="D98" s="156"/>
      <c r="E98" s="156"/>
      <c r="F98" s="159"/>
      <c r="G98" s="160"/>
    </row>
    <row r="99" spans="2:7" ht="17" thickBot="1" x14ac:dyDescent="0.25">
      <c r="B99" s="206"/>
      <c r="C99" s="207"/>
      <c r="D99" s="208"/>
      <c r="E99" s="209" t="s">
        <v>460</v>
      </c>
      <c r="F99" s="210" t="s">
        <v>461</v>
      </c>
      <c r="G99" s="211">
        <v>39961</v>
      </c>
    </row>
    <row r="100" spans="2:7" ht="17" thickTop="1" x14ac:dyDescent="0.2">
      <c r="B100" s="212"/>
      <c r="C100" s="213"/>
      <c r="D100" s="212"/>
      <c r="E100" s="212"/>
      <c r="F100" s="212"/>
      <c r="G100" s="212"/>
    </row>
    <row r="101" spans="2:7" ht="17" thickBot="1" x14ac:dyDescent="0.25">
      <c r="B101" s="212"/>
      <c r="C101" s="213"/>
      <c r="D101" s="212"/>
      <c r="E101" s="212"/>
      <c r="F101" s="212"/>
      <c r="G101" s="212"/>
    </row>
    <row r="102" spans="2:7" ht="17" thickTop="1" x14ac:dyDescent="0.2">
      <c r="B102" s="537" t="s">
        <v>12</v>
      </c>
      <c r="C102" s="538"/>
      <c r="D102" s="538"/>
      <c r="E102" s="538"/>
      <c r="F102" s="148"/>
      <c r="G102" s="149" t="s">
        <v>439</v>
      </c>
    </row>
    <row r="103" spans="2:7" x14ac:dyDescent="0.2">
      <c r="B103" s="539"/>
      <c r="C103" s="540"/>
      <c r="D103" s="540"/>
      <c r="E103" s="540"/>
      <c r="F103" s="150"/>
      <c r="G103" s="151" t="s">
        <v>466</v>
      </c>
    </row>
    <row r="104" spans="2:7" x14ac:dyDescent="0.2">
      <c r="B104" s="152" t="s">
        <v>1</v>
      </c>
      <c r="C104" s="153" t="s">
        <v>2</v>
      </c>
      <c r="D104" s="153" t="s">
        <v>3</v>
      </c>
      <c r="E104" s="153" t="s">
        <v>441</v>
      </c>
      <c r="F104" s="154" t="s">
        <v>442</v>
      </c>
      <c r="G104" s="155" t="s">
        <v>443</v>
      </c>
    </row>
    <row r="105" spans="2:7" x14ac:dyDescent="0.2">
      <c r="B105" s="157"/>
      <c r="C105" s="158"/>
      <c r="D105" s="156"/>
      <c r="E105" s="156"/>
      <c r="F105" s="159"/>
      <c r="G105" s="160"/>
    </row>
    <row r="106" spans="2:7" x14ac:dyDescent="0.2">
      <c r="B106" s="161" t="s">
        <v>444</v>
      </c>
      <c r="C106" s="158"/>
      <c r="D106" s="156"/>
      <c r="E106" s="156"/>
      <c r="F106" s="159"/>
      <c r="G106" s="160"/>
    </row>
    <row r="107" spans="2:7" x14ac:dyDescent="0.2">
      <c r="B107" s="162" t="s">
        <v>445</v>
      </c>
      <c r="C107" s="163" t="s">
        <v>2</v>
      </c>
      <c r="D107" s="164">
        <v>0.11</v>
      </c>
      <c r="E107" s="165">
        <v>14.04</v>
      </c>
      <c r="F107" s="166">
        <v>174928.81</v>
      </c>
      <c r="G107" s="167">
        <v>22515.9</v>
      </c>
    </row>
    <row r="108" spans="2:7" x14ac:dyDescent="0.2">
      <c r="B108" s="184"/>
      <c r="C108" s="169"/>
      <c r="D108" s="170"/>
      <c r="E108" s="170"/>
      <c r="F108" s="171"/>
      <c r="G108" s="188"/>
    </row>
    <row r="109" spans="2:7" x14ac:dyDescent="0.2">
      <c r="B109" s="157"/>
      <c r="C109" s="158"/>
      <c r="D109" s="156"/>
      <c r="E109" s="156"/>
      <c r="F109" s="159" t="s">
        <v>446</v>
      </c>
      <c r="G109" s="183">
        <v>22515.9</v>
      </c>
    </row>
    <row r="110" spans="2:7" x14ac:dyDescent="0.2">
      <c r="B110" s="161" t="s">
        <v>447</v>
      </c>
      <c r="C110" s="158"/>
      <c r="D110" s="156"/>
      <c r="E110" s="156"/>
      <c r="F110" s="159"/>
      <c r="G110" s="160"/>
    </row>
    <row r="111" spans="2:7" x14ac:dyDescent="0.2">
      <c r="B111" s="218" t="s">
        <v>448</v>
      </c>
      <c r="C111" s="219" t="s">
        <v>2</v>
      </c>
      <c r="D111" s="176">
        <v>1.754</v>
      </c>
      <c r="E111" s="186"/>
      <c r="F111" s="220">
        <v>1208.1199999999999</v>
      </c>
      <c r="G111" s="221">
        <v>2119.5</v>
      </c>
    </row>
    <row r="112" spans="2:7" x14ac:dyDescent="0.2">
      <c r="B112" s="180"/>
      <c r="C112" s="185"/>
      <c r="D112" s="181"/>
      <c r="E112" s="186"/>
      <c r="F112" s="222"/>
      <c r="G112" s="182"/>
    </row>
    <row r="113" spans="2:7" x14ac:dyDescent="0.2">
      <c r="B113" s="157"/>
      <c r="C113" s="158"/>
      <c r="D113" s="156"/>
      <c r="E113" s="156"/>
      <c r="F113" s="159" t="s">
        <v>449</v>
      </c>
      <c r="G113" s="183">
        <v>2119.5</v>
      </c>
    </row>
    <row r="114" spans="2:7" x14ac:dyDescent="0.2">
      <c r="B114" s="161" t="s">
        <v>450</v>
      </c>
      <c r="C114" s="158"/>
      <c r="D114" s="156"/>
      <c r="E114" s="156"/>
      <c r="F114" s="159"/>
      <c r="G114" s="160"/>
    </row>
    <row r="115" spans="2:7" x14ac:dyDescent="0.2">
      <c r="B115" s="184" t="s">
        <v>451</v>
      </c>
      <c r="C115" s="185" t="s">
        <v>2</v>
      </c>
      <c r="D115" s="178">
        <v>25345.919999999998</v>
      </c>
      <c r="E115" s="186"/>
      <c r="F115" s="187">
        <v>0.02</v>
      </c>
      <c r="G115" s="188">
        <v>506.91</v>
      </c>
    </row>
    <row r="116" spans="2:7" x14ac:dyDescent="0.2">
      <c r="B116" s="157"/>
      <c r="C116" s="158"/>
      <c r="D116" s="156"/>
      <c r="E116" s="156"/>
      <c r="F116" s="159" t="s">
        <v>452</v>
      </c>
      <c r="G116" s="183">
        <v>506.91</v>
      </c>
    </row>
    <row r="117" spans="2:7" x14ac:dyDescent="0.2">
      <c r="B117" s="161" t="s">
        <v>453</v>
      </c>
      <c r="C117" s="158"/>
      <c r="D117" s="156"/>
      <c r="E117" s="156"/>
      <c r="F117" s="159"/>
      <c r="G117" s="160"/>
    </row>
    <row r="118" spans="2:7" x14ac:dyDescent="0.2">
      <c r="B118" s="189" t="s">
        <v>454</v>
      </c>
      <c r="C118" s="190" t="s">
        <v>2</v>
      </c>
      <c r="D118" s="191">
        <v>6.0000000000000001E-3</v>
      </c>
      <c r="E118" s="192"/>
      <c r="F118" s="193">
        <v>121500</v>
      </c>
      <c r="G118" s="194">
        <v>710.52</v>
      </c>
    </row>
    <row r="119" spans="2:7" x14ac:dyDescent="0.2">
      <c r="B119" s="195" t="s">
        <v>455</v>
      </c>
      <c r="C119" s="196" t="s">
        <v>456</v>
      </c>
      <c r="D119" s="178">
        <v>25345.919999999998</v>
      </c>
      <c r="E119" s="197"/>
      <c r="F119" s="198"/>
      <c r="G119" s="199" t="s">
        <v>457</v>
      </c>
    </row>
    <row r="120" spans="2:7" x14ac:dyDescent="0.2">
      <c r="B120" s="200" t="s">
        <v>458</v>
      </c>
      <c r="C120" s="201" t="s">
        <v>456</v>
      </c>
      <c r="D120" s="178">
        <v>25345.919999999998</v>
      </c>
      <c r="E120" s="202"/>
      <c r="F120" s="203"/>
      <c r="G120" s="204" t="s">
        <v>457</v>
      </c>
    </row>
    <row r="121" spans="2:7" x14ac:dyDescent="0.2">
      <c r="B121" s="180"/>
      <c r="C121" s="169"/>
      <c r="D121" s="205"/>
      <c r="E121" s="170"/>
      <c r="F121" s="171"/>
      <c r="G121" s="182"/>
    </row>
    <row r="122" spans="2:7" x14ac:dyDescent="0.2">
      <c r="B122" s="157"/>
      <c r="C122" s="158"/>
      <c r="D122" s="156"/>
      <c r="E122" s="156"/>
      <c r="F122" s="159" t="s">
        <v>459</v>
      </c>
      <c r="G122" s="183">
        <v>710.52</v>
      </c>
    </row>
    <row r="123" spans="2:7" x14ac:dyDescent="0.2">
      <c r="B123" s="157"/>
      <c r="C123" s="158"/>
      <c r="D123" s="156"/>
      <c r="E123" s="156"/>
      <c r="F123" s="159"/>
      <c r="G123" s="160"/>
    </row>
    <row r="124" spans="2:7" ht="17" thickBot="1" x14ac:dyDescent="0.25">
      <c r="B124" s="206"/>
      <c r="C124" s="207"/>
      <c r="D124" s="208"/>
      <c r="E124" s="209" t="s">
        <v>460</v>
      </c>
      <c r="F124" s="210">
        <v>14688.3</v>
      </c>
      <c r="G124" s="211">
        <v>25853</v>
      </c>
    </row>
    <row r="125" spans="2:7" ht="17" thickTop="1" x14ac:dyDescent="0.2">
      <c r="B125" s="212"/>
      <c r="C125" s="213"/>
      <c r="D125" s="212"/>
      <c r="E125" s="212"/>
      <c r="F125" s="212"/>
      <c r="G125" s="212"/>
    </row>
    <row r="126" spans="2:7" ht="17" thickBot="1" x14ac:dyDescent="0.25">
      <c r="B126" s="212"/>
      <c r="C126" s="213"/>
      <c r="D126" s="212"/>
      <c r="E126" s="212"/>
      <c r="F126" s="212"/>
      <c r="G126" s="212"/>
    </row>
    <row r="127" spans="2:7" ht="17" thickTop="1" x14ac:dyDescent="0.2">
      <c r="B127" s="537" t="s">
        <v>13</v>
      </c>
      <c r="C127" s="538"/>
      <c r="D127" s="538"/>
      <c r="E127" s="538"/>
      <c r="F127" s="148"/>
      <c r="G127" s="149" t="s">
        <v>439</v>
      </c>
    </row>
    <row r="128" spans="2:7" x14ac:dyDescent="0.2">
      <c r="B128" s="539"/>
      <c r="C128" s="540"/>
      <c r="D128" s="540"/>
      <c r="E128" s="540"/>
      <c r="F128" s="150"/>
      <c r="G128" s="151" t="s">
        <v>467</v>
      </c>
    </row>
    <row r="129" spans="2:7" x14ac:dyDescent="0.2">
      <c r="B129" s="152" t="s">
        <v>1</v>
      </c>
      <c r="C129" s="153" t="s">
        <v>2</v>
      </c>
      <c r="D129" s="153" t="s">
        <v>3</v>
      </c>
      <c r="E129" s="153" t="s">
        <v>441</v>
      </c>
      <c r="F129" s="154" t="s">
        <v>442</v>
      </c>
      <c r="G129" s="155" t="s">
        <v>443</v>
      </c>
    </row>
    <row r="130" spans="2:7" x14ac:dyDescent="0.2">
      <c r="B130" s="157"/>
      <c r="C130" s="158"/>
      <c r="D130" s="156"/>
      <c r="E130" s="156"/>
      <c r="F130" s="159"/>
      <c r="G130" s="160"/>
    </row>
    <row r="131" spans="2:7" x14ac:dyDescent="0.2">
      <c r="B131" s="161" t="s">
        <v>444</v>
      </c>
      <c r="C131" s="158"/>
      <c r="D131" s="156"/>
      <c r="E131" s="156"/>
      <c r="F131" s="159"/>
      <c r="G131" s="160"/>
    </row>
    <row r="132" spans="2:7" x14ac:dyDescent="0.2">
      <c r="B132" s="162" t="s">
        <v>445</v>
      </c>
      <c r="C132" s="163" t="s">
        <v>2</v>
      </c>
      <c r="D132" s="164">
        <v>0.09</v>
      </c>
      <c r="E132" s="165">
        <v>14.04</v>
      </c>
      <c r="F132" s="166">
        <v>174928.81</v>
      </c>
      <c r="G132" s="167">
        <v>17154.97</v>
      </c>
    </row>
    <row r="133" spans="2:7" x14ac:dyDescent="0.2">
      <c r="B133" s="184"/>
      <c r="C133" s="169"/>
      <c r="D133" s="170"/>
      <c r="E133" s="170"/>
      <c r="F133" s="171"/>
      <c r="G133" s="188"/>
    </row>
    <row r="134" spans="2:7" x14ac:dyDescent="0.2">
      <c r="B134" s="157"/>
      <c r="C134" s="158"/>
      <c r="D134" s="156"/>
      <c r="E134" s="156"/>
      <c r="F134" s="159" t="s">
        <v>446</v>
      </c>
      <c r="G134" s="183">
        <v>17154.97</v>
      </c>
    </row>
    <row r="135" spans="2:7" x14ac:dyDescent="0.2">
      <c r="B135" s="161" t="s">
        <v>447</v>
      </c>
      <c r="C135" s="158"/>
      <c r="D135" s="156"/>
      <c r="E135" s="156"/>
      <c r="F135" s="159"/>
      <c r="G135" s="160"/>
    </row>
    <row r="136" spans="2:7" x14ac:dyDescent="0.2">
      <c r="B136" s="174" t="s">
        <v>448</v>
      </c>
      <c r="C136" s="175" t="s">
        <v>2</v>
      </c>
      <c r="D136" s="176">
        <v>1.754</v>
      </c>
      <c r="E136" s="223"/>
      <c r="F136" s="214">
        <v>1208.1199999999999</v>
      </c>
      <c r="G136" s="179">
        <v>2119.5</v>
      </c>
    </row>
    <row r="137" spans="2:7" x14ac:dyDescent="0.2">
      <c r="B137" s="180"/>
      <c r="C137" s="169"/>
      <c r="D137" s="181"/>
      <c r="E137" s="170"/>
      <c r="F137" s="171"/>
      <c r="G137" s="182"/>
    </row>
    <row r="138" spans="2:7" x14ac:dyDescent="0.2">
      <c r="B138" s="157"/>
      <c r="C138" s="158"/>
      <c r="D138" s="156"/>
      <c r="E138" s="156"/>
      <c r="F138" s="159" t="s">
        <v>449</v>
      </c>
      <c r="G138" s="183">
        <v>2119.5</v>
      </c>
    </row>
    <row r="139" spans="2:7" x14ac:dyDescent="0.2">
      <c r="B139" s="161" t="s">
        <v>450</v>
      </c>
      <c r="C139" s="158"/>
      <c r="D139" s="156"/>
      <c r="E139" s="156"/>
      <c r="F139" s="159"/>
      <c r="G139" s="160"/>
    </row>
    <row r="140" spans="2:7" x14ac:dyDescent="0.2">
      <c r="B140" s="184" t="s">
        <v>451</v>
      </c>
      <c r="C140" s="185" t="s">
        <v>2</v>
      </c>
      <c r="D140" s="178">
        <v>19883.490000000002</v>
      </c>
      <c r="E140" s="186"/>
      <c r="F140" s="187">
        <v>0.02</v>
      </c>
      <c r="G140" s="188">
        <v>397.66</v>
      </c>
    </row>
    <row r="141" spans="2:7" x14ac:dyDescent="0.2">
      <c r="B141" s="157"/>
      <c r="C141" s="158"/>
      <c r="D141" s="156"/>
      <c r="E141" s="156"/>
      <c r="F141" s="159" t="s">
        <v>452</v>
      </c>
      <c r="G141" s="183">
        <v>397.66</v>
      </c>
    </row>
    <row r="142" spans="2:7" x14ac:dyDescent="0.2">
      <c r="B142" s="161" t="s">
        <v>453</v>
      </c>
      <c r="C142" s="158"/>
      <c r="D142" s="156"/>
      <c r="E142" s="156"/>
      <c r="F142" s="159"/>
      <c r="G142" s="160"/>
    </row>
    <row r="143" spans="2:7" x14ac:dyDescent="0.2">
      <c r="B143" s="189" t="s">
        <v>454</v>
      </c>
      <c r="C143" s="190" t="s">
        <v>2</v>
      </c>
      <c r="D143" s="191">
        <v>5.0000000000000001E-3</v>
      </c>
      <c r="E143" s="192"/>
      <c r="F143" s="193">
        <v>121500</v>
      </c>
      <c r="G143" s="194">
        <v>609.02</v>
      </c>
    </row>
    <row r="144" spans="2:7" x14ac:dyDescent="0.2">
      <c r="B144" s="195" t="s">
        <v>455</v>
      </c>
      <c r="C144" s="196" t="s">
        <v>456</v>
      </c>
      <c r="D144" s="178">
        <v>19883.490000000002</v>
      </c>
      <c r="E144" s="197"/>
      <c r="F144" s="198"/>
      <c r="G144" s="199" t="s">
        <v>457</v>
      </c>
    </row>
    <row r="145" spans="2:7" x14ac:dyDescent="0.2">
      <c r="B145" s="195" t="s">
        <v>458</v>
      </c>
      <c r="C145" s="201" t="s">
        <v>456</v>
      </c>
      <c r="D145" s="178">
        <v>19883.490000000002</v>
      </c>
      <c r="E145" s="202"/>
      <c r="F145" s="203"/>
      <c r="G145" s="199" t="s">
        <v>457</v>
      </c>
    </row>
    <row r="146" spans="2:7" x14ac:dyDescent="0.2">
      <c r="B146" s="157"/>
      <c r="C146" s="158"/>
      <c r="D146" s="156"/>
      <c r="E146" s="156"/>
      <c r="F146" s="159" t="s">
        <v>459</v>
      </c>
      <c r="G146" s="173">
        <v>609.02</v>
      </c>
    </row>
    <row r="147" spans="2:7" x14ac:dyDescent="0.2">
      <c r="B147" s="157"/>
      <c r="C147" s="158"/>
      <c r="D147" s="156"/>
      <c r="E147" s="156"/>
      <c r="F147" s="159"/>
      <c r="G147" s="160"/>
    </row>
    <row r="148" spans="2:7" ht="17" thickBot="1" x14ac:dyDescent="0.25">
      <c r="B148" s="206"/>
      <c r="C148" s="207"/>
      <c r="D148" s="208"/>
      <c r="E148" s="209" t="s">
        <v>460</v>
      </c>
      <c r="F148" s="210">
        <v>10202.709999999999</v>
      </c>
      <c r="G148" s="211">
        <v>20281</v>
      </c>
    </row>
    <row r="149" spans="2:7" ht="17" thickTop="1" x14ac:dyDescent="0.2">
      <c r="B149" s="212"/>
      <c r="C149" s="213"/>
      <c r="D149" s="212"/>
      <c r="E149" s="212"/>
      <c r="F149" s="212"/>
      <c r="G149" s="212"/>
    </row>
    <row r="150" spans="2:7" ht="17" thickBot="1" x14ac:dyDescent="0.25">
      <c r="B150" s="212"/>
      <c r="C150" s="213"/>
      <c r="D150" s="212"/>
      <c r="E150" s="212"/>
      <c r="F150" s="212"/>
      <c r="G150" s="212"/>
    </row>
    <row r="151" spans="2:7" ht="17" thickTop="1" x14ac:dyDescent="0.2">
      <c r="B151" s="537" t="s">
        <v>14</v>
      </c>
      <c r="C151" s="538"/>
      <c r="D151" s="538"/>
      <c r="E151" s="538"/>
      <c r="F151" s="148"/>
      <c r="G151" s="149" t="s">
        <v>439</v>
      </c>
    </row>
    <row r="152" spans="2:7" x14ac:dyDescent="0.2">
      <c r="B152" s="539"/>
      <c r="C152" s="540"/>
      <c r="D152" s="540"/>
      <c r="E152" s="540"/>
      <c r="F152" s="150"/>
      <c r="G152" s="151" t="s">
        <v>468</v>
      </c>
    </row>
    <row r="153" spans="2:7" x14ac:dyDescent="0.2">
      <c r="B153" s="152" t="s">
        <v>1</v>
      </c>
      <c r="C153" s="153" t="s">
        <v>2</v>
      </c>
      <c r="D153" s="153" t="s">
        <v>3</v>
      </c>
      <c r="E153" s="153" t="s">
        <v>441</v>
      </c>
      <c r="F153" s="154" t="s">
        <v>442</v>
      </c>
      <c r="G153" s="155" t="s">
        <v>443</v>
      </c>
    </row>
    <row r="154" spans="2:7" x14ac:dyDescent="0.2">
      <c r="B154" s="157"/>
      <c r="C154" s="158"/>
      <c r="D154" s="156"/>
      <c r="E154" s="156"/>
      <c r="F154" s="159"/>
      <c r="G154" s="160"/>
    </row>
    <row r="155" spans="2:7" x14ac:dyDescent="0.2">
      <c r="B155" s="161" t="s">
        <v>444</v>
      </c>
      <c r="C155" s="158"/>
      <c r="D155" s="156"/>
      <c r="E155" s="156"/>
      <c r="F155" s="159"/>
      <c r="G155" s="160"/>
    </row>
    <row r="156" spans="2:7" x14ac:dyDescent="0.2">
      <c r="B156" s="162" t="s">
        <v>445</v>
      </c>
      <c r="C156" s="163" t="s">
        <v>2</v>
      </c>
      <c r="D156" s="164">
        <v>0.06</v>
      </c>
      <c r="E156" s="165">
        <v>14.04</v>
      </c>
      <c r="F156" s="166">
        <v>174928.81</v>
      </c>
      <c r="G156" s="167">
        <v>11794.04</v>
      </c>
    </row>
    <row r="157" spans="2:7" x14ac:dyDescent="0.2">
      <c r="B157" s="184"/>
      <c r="C157" s="169"/>
      <c r="D157" s="170"/>
      <c r="E157" s="170"/>
      <c r="F157" s="171"/>
      <c r="G157" s="188"/>
    </row>
    <row r="158" spans="2:7" x14ac:dyDescent="0.2">
      <c r="B158" s="157"/>
      <c r="C158" s="158"/>
      <c r="D158" s="156"/>
      <c r="E158" s="156"/>
      <c r="F158" s="159" t="s">
        <v>446</v>
      </c>
      <c r="G158" s="183">
        <v>11794.04</v>
      </c>
    </row>
    <row r="159" spans="2:7" x14ac:dyDescent="0.2">
      <c r="B159" s="161" t="s">
        <v>447</v>
      </c>
      <c r="C159" s="158"/>
      <c r="D159" s="156"/>
      <c r="E159" s="156"/>
      <c r="F159" s="159"/>
      <c r="G159" s="160"/>
    </row>
    <row r="160" spans="2:7" x14ac:dyDescent="0.2">
      <c r="B160" s="218" t="s">
        <v>448</v>
      </c>
      <c r="C160" s="219" t="s">
        <v>2</v>
      </c>
      <c r="D160" s="176">
        <v>1.228</v>
      </c>
      <c r="E160" s="186"/>
      <c r="F160" s="220">
        <v>1208.1199999999999</v>
      </c>
      <c r="G160" s="221">
        <v>1483.65</v>
      </c>
    </row>
    <row r="161" spans="2:7" x14ac:dyDescent="0.2">
      <c r="B161" s="180"/>
      <c r="C161" s="185"/>
      <c r="D161" s="181"/>
      <c r="E161" s="186"/>
      <c r="F161" s="222"/>
      <c r="G161" s="182"/>
    </row>
    <row r="162" spans="2:7" x14ac:dyDescent="0.2">
      <c r="B162" s="157"/>
      <c r="C162" s="158"/>
      <c r="D162" s="156"/>
      <c r="E162" s="156"/>
      <c r="F162" s="159" t="s">
        <v>449</v>
      </c>
      <c r="G162" s="183">
        <v>1483.65</v>
      </c>
    </row>
    <row r="163" spans="2:7" x14ac:dyDescent="0.2">
      <c r="B163" s="161" t="s">
        <v>450</v>
      </c>
      <c r="C163" s="158"/>
      <c r="D163" s="156"/>
      <c r="E163" s="156"/>
      <c r="F163" s="159"/>
      <c r="G163" s="160"/>
    </row>
    <row r="164" spans="2:7" x14ac:dyDescent="0.2">
      <c r="B164" s="184" t="s">
        <v>451</v>
      </c>
      <c r="C164" s="185" t="s">
        <v>2</v>
      </c>
      <c r="D164" s="178">
        <v>13810.58</v>
      </c>
      <c r="E164" s="186"/>
      <c r="F164" s="187">
        <v>0.02</v>
      </c>
      <c r="G164" s="188">
        <v>276.20999999999998</v>
      </c>
    </row>
    <row r="165" spans="2:7" x14ac:dyDescent="0.2">
      <c r="B165" s="157"/>
      <c r="C165" s="158"/>
      <c r="D165" s="156"/>
      <c r="E165" s="156"/>
      <c r="F165" s="159" t="s">
        <v>452</v>
      </c>
      <c r="G165" s="183">
        <v>276.20999999999998</v>
      </c>
    </row>
    <row r="166" spans="2:7" x14ac:dyDescent="0.2">
      <c r="B166" s="161" t="s">
        <v>453</v>
      </c>
      <c r="C166" s="158"/>
      <c r="D166" s="156"/>
      <c r="E166" s="156"/>
      <c r="F166" s="159"/>
      <c r="G166" s="160"/>
    </row>
    <row r="167" spans="2:7" x14ac:dyDescent="0.2">
      <c r="B167" s="162" t="s">
        <v>454</v>
      </c>
      <c r="C167" s="190" t="s">
        <v>2</v>
      </c>
      <c r="D167" s="191">
        <v>4.0000000000000001E-3</v>
      </c>
      <c r="E167" s="192"/>
      <c r="F167" s="193">
        <v>121500</v>
      </c>
      <c r="G167" s="167">
        <v>532.89</v>
      </c>
    </row>
    <row r="168" spans="2:7" x14ac:dyDescent="0.2">
      <c r="B168" s="216" t="s">
        <v>455</v>
      </c>
      <c r="C168" s="196" t="s">
        <v>456</v>
      </c>
      <c r="D168" s="178">
        <v>13810.58</v>
      </c>
      <c r="E168" s="197"/>
      <c r="F168" s="198"/>
      <c r="G168" s="217" t="s">
        <v>465</v>
      </c>
    </row>
    <row r="169" spans="2:7" x14ac:dyDescent="0.2">
      <c r="B169" s="200" t="s">
        <v>458</v>
      </c>
      <c r="C169" s="201" t="s">
        <v>456</v>
      </c>
      <c r="D169" s="178">
        <v>13810.58</v>
      </c>
      <c r="E169" s="202"/>
      <c r="F169" s="203"/>
      <c r="G169" s="204" t="s">
        <v>457</v>
      </c>
    </row>
    <row r="170" spans="2:7" x14ac:dyDescent="0.2">
      <c r="B170" s="180"/>
      <c r="C170" s="169"/>
      <c r="D170" s="205"/>
      <c r="E170" s="170"/>
      <c r="F170" s="171"/>
      <c r="G170" s="182"/>
    </row>
    <row r="171" spans="2:7" x14ac:dyDescent="0.2">
      <c r="B171" s="157"/>
      <c r="C171" s="158"/>
      <c r="D171" s="156"/>
      <c r="E171" s="156"/>
      <c r="F171" s="159" t="s">
        <v>459</v>
      </c>
      <c r="G171" s="183">
        <v>532.89</v>
      </c>
    </row>
    <row r="172" spans="2:7" x14ac:dyDescent="0.2">
      <c r="B172" s="157"/>
      <c r="C172" s="158"/>
      <c r="D172" s="156"/>
      <c r="E172" s="156"/>
      <c r="F172" s="159"/>
      <c r="G172" s="160"/>
    </row>
    <row r="173" spans="2:7" ht="17" thickBot="1" x14ac:dyDescent="0.25">
      <c r="B173" s="206"/>
      <c r="C173" s="207"/>
      <c r="D173" s="208"/>
      <c r="E173" s="209" t="s">
        <v>460</v>
      </c>
      <c r="F173" s="210">
        <v>147718.07999999999</v>
      </c>
      <c r="G173" s="211">
        <v>14087</v>
      </c>
    </row>
    <row r="174" spans="2:7" ht="17" thickTop="1" x14ac:dyDescent="0.2">
      <c r="B174" s="212"/>
      <c r="C174" s="213"/>
      <c r="D174" s="212"/>
      <c r="E174" s="212"/>
      <c r="F174" s="212"/>
      <c r="G174" s="212"/>
    </row>
    <row r="175" spans="2:7" x14ac:dyDescent="0.2">
      <c r="B175" s="212"/>
      <c r="C175" s="213"/>
      <c r="D175" s="212"/>
      <c r="E175" s="212"/>
      <c r="F175" s="212"/>
      <c r="G175" s="212"/>
    </row>
    <row r="176" spans="2:7" ht="17" thickBot="1" x14ac:dyDescent="0.25">
      <c r="B176" s="212"/>
      <c r="C176" s="213"/>
      <c r="D176" s="212"/>
      <c r="E176" s="212"/>
      <c r="F176" s="212"/>
      <c r="G176" s="212"/>
    </row>
    <row r="177" spans="2:7" ht="17" thickTop="1" x14ac:dyDescent="0.2">
      <c r="B177" s="537" t="s">
        <v>17</v>
      </c>
      <c r="C177" s="538"/>
      <c r="D177" s="538"/>
      <c r="E177" s="538"/>
      <c r="F177" s="148"/>
      <c r="G177" s="149" t="s">
        <v>439</v>
      </c>
    </row>
    <row r="178" spans="2:7" x14ac:dyDescent="0.2">
      <c r="B178" s="539"/>
      <c r="C178" s="540"/>
      <c r="D178" s="540"/>
      <c r="E178" s="540"/>
      <c r="F178" s="150"/>
      <c r="G178" s="151" t="s">
        <v>469</v>
      </c>
    </row>
    <row r="179" spans="2:7" x14ac:dyDescent="0.2">
      <c r="B179" s="152" t="s">
        <v>1</v>
      </c>
      <c r="C179" s="153" t="s">
        <v>2</v>
      </c>
      <c r="D179" s="153" t="s">
        <v>3</v>
      </c>
      <c r="E179" s="153" t="s">
        <v>441</v>
      </c>
      <c r="F179" s="154" t="s">
        <v>442</v>
      </c>
      <c r="G179" s="155" t="s">
        <v>443</v>
      </c>
    </row>
    <row r="180" spans="2:7" x14ac:dyDescent="0.2">
      <c r="B180" s="157"/>
      <c r="C180" s="158"/>
      <c r="D180" s="156"/>
      <c r="E180" s="156"/>
      <c r="F180" s="159"/>
      <c r="G180" s="160"/>
    </row>
    <row r="181" spans="2:7" x14ac:dyDescent="0.2">
      <c r="B181" s="161" t="s">
        <v>444</v>
      </c>
      <c r="C181" s="158"/>
      <c r="D181" s="156"/>
      <c r="E181" s="156"/>
      <c r="F181" s="159"/>
      <c r="G181" s="160"/>
    </row>
    <row r="182" spans="2:7" x14ac:dyDescent="0.2">
      <c r="B182" s="162" t="s">
        <v>470</v>
      </c>
      <c r="C182" s="163" t="s">
        <v>2</v>
      </c>
      <c r="D182" s="164">
        <v>0.33</v>
      </c>
      <c r="E182" s="165">
        <v>14.04</v>
      </c>
      <c r="F182" s="166">
        <v>127091.44</v>
      </c>
      <c r="G182" s="167">
        <v>47517.65</v>
      </c>
    </row>
    <row r="183" spans="2:7" x14ac:dyDescent="0.2">
      <c r="B183" s="168"/>
      <c r="C183" s="169"/>
      <c r="D183" s="170"/>
      <c r="E183" s="170"/>
      <c r="F183" s="171"/>
      <c r="G183" s="172"/>
    </row>
    <row r="184" spans="2:7" x14ac:dyDescent="0.2">
      <c r="B184" s="157"/>
      <c r="C184" s="158"/>
      <c r="D184" s="156"/>
      <c r="E184" s="156"/>
      <c r="F184" s="159" t="s">
        <v>446</v>
      </c>
      <c r="G184" s="173">
        <v>47517.65</v>
      </c>
    </row>
    <row r="185" spans="2:7" x14ac:dyDescent="0.2">
      <c r="B185" s="161" t="s">
        <v>447</v>
      </c>
      <c r="C185" s="158"/>
      <c r="D185" s="156"/>
      <c r="E185" s="156"/>
      <c r="F185" s="159"/>
      <c r="G185" s="160"/>
    </row>
    <row r="186" spans="2:7" x14ac:dyDescent="0.2">
      <c r="B186" s="174" t="s">
        <v>448</v>
      </c>
      <c r="C186" s="175" t="s">
        <v>2</v>
      </c>
      <c r="D186" s="176">
        <v>6.3159999999999998</v>
      </c>
      <c r="E186" s="223"/>
      <c r="F186" s="214">
        <v>1208.1199999999999</v>
      </c>
      <c r="G186" s="179">
        <v>7630.23</v>
      </c>
    </row>
    <row r="187" spans="2:7" x14ac:dyDescent="0.2">
      <c r="B187" s="180"/>
      <c r="C187" s="169"/>
      <c r="D187" s="181"/>
      <c r="E187" s="170"/>
      <c r="F187" s="171"/>
      <c r="G187" s="182"/>
    </row>
    <row r="188" spans="2:7" x14ac:dyDescent="0.2">
      <c r="B188" s="157"/>
      <c r="C188" s="158"/>
      <c r="D188" s="156"/>
      <c r="E188" s="156"/>
      <c r="F188" s="159" t="s">
        <v>449</v>
      </c>
      <c r="G188" s="183">
        <v>7630.23</v>
      </c>
    </row>
    <row r="189" spans="2:7" x14ac:dyDescent="0.2">
      <c r="B189" s="161" t="s">
        <v>450</v>
      </c>
      <c r="C189" s="158"/>
      <c r="D189" s="156"/>
      <c r="E189" s="156"/>
      <c r="F189" s="159"/>
      <c r="G189" s="160"/>
    </row>
    <row r="190" spans="2:7" x14ac:dyDescent="0.2">
      <c r="B190" s="184" t="s">
        <v>451</v>
      </c>
      <c r="C190" s="185" t="s">
        <v>2</v>
      </c>
      <c r="D190" s="178">
        <v>60263.66</v>
      </c>
      <c r="E190" s="186"/>
      <c r="F190" s="187">
        <v>0.02</v>
      </c>
      <c r="G190" s="188">
        <v>1205.27</v>
      </c>
    </row>
    <row r="191" spans="2:7" x14ac:dyDescent="0.2">
      <c r="B191" s="157"/>
      <c r="C191" s="158"/>
      <c r="D191" s="156"/>
      <c r="E191" s="156"/>
      <c r="F191" s="159" t="s">
        <v>452</v>
      </c>
      <c r="G191" s="183">
        <v>1205.27</v>
      </c>
    </row>
    <row r="192" spans="2:7" x14ac:dyDescent="0.2">
      <c r="B192" s="161" t="s">
        <v>453</v>
      </c>
      <c r="C192" s="158"/>
      <c r="D192" s="156"/>
      <c r="E192" s="156"/>
      <c r="F192" s="159"/>
      <c r="G192" s="160"/>
    </row>
    <row r="193" spans="2:7" x14ac:dyDescent="0.2">
      <c r="B193" s="189" t="s">
        <v>454</v>
      </c>
      <c r="C193" s="190" t="s">
        <v>2</v>
      </c>
      <c r="D193" s="191">
        <v>4.2000000000000003E-2</v>
      </c>
      <c r="E193" s="192"/>
      <c r="F193" s="193">
        <v>121500</v>
      </c>
      <c r="G193" s="194">
        <v>5115.78</v>
      </c>
    </row>
    <row r="194" spans="2:7" x14ac:dyDescent="0.2">
      <c r="B194" s="195" t="s">
        <v>455</v>
      </c>
      <c r="C194" s="196" t="s">
        <v>456</v>
      </c>
      <c r="D194" s="178">
        <v>60263.66</v>
      </c>
      <c r="E194" s="197"/>
      <c r="F194" s="198"/>
      <c r="G194" s="199" t="s">
        <v>457</v>
      </c>
    </row>
    <row r="195" spans="2:7" x14ac:dyDescent="0.2">
      <c r="B195" s="200" t="s">
        <v>458</v>
      </c>
      <c r="C195" s="201" t="s">
        <v>456</v>
      </c>
      <c r="D195" s="178">
        <v>60263.66</v>
      </c>
      <c r="E195" s="202"/>
      <c r="F195" s="203"/>
      <c r="G195" s="204" t="s">
        <v>457</v>
      </c>
    </row>
    <row r="196" spans="2:7" x14ac:dyDescent="0.2">
      <c r="B196" s="180"/>
      <c r="C196" s="169"/>
      <c r="D196" s="205"/>
      <c r="E196" s="170"/>
      <c r="F196" s="171"/>
      <c r="G196" s="182"/>
    </row>
    <row r="197" spans="2:7" x14ac:dyDescent="0.2">
      <c r="B197" s="157"/>
      <c r="C197" s="158"/>
      <c r="D197" s="156"/>
      <c r="E197" s="156"/>
      <c r="F197" s="159" t="s">
        <v>459</v>
      </c>
      <c r="G197" s="183">
        <v>5115.78</v>
      </c>
    </row>
    <row r="198" spans="2:7" x14ac:dyDescent="0.2">
      <c r="B198" s="157"/>
      <c r="C198" s="158"/>
      <c r="D198" s="156"/>
      <c r="E198" s="156"/>
      <c r="F198" s="159"/>
      <c r="G198" s="160"/>
    </row>
    <row r="199" spans="2:7" ht="17" thickBot="1" x14ac:dyDescent="0.25">
      <c r="B199" s="206"/>
      <c r="C199" s="207"/>
      <c r="D199" s="208"/>
      <c r="E199" s="209" t="s">
        <v>460</v>
      </c>
      <c r="F199" s="210" t="s">
        <v>461</v>
      </c>
      <c r="G199" s="211">
        <v>61469</v>
      </c>
    </row>
    <row r="200" spans="2:7" ht="17" thickTop="1" x14ac:dyDescent="0.2">
      <c r="B200" s="212"/>
      <c r="C200" s="213"/>
      <c r="D200" s="212"/>
      <c r="E200" s="212"/>
      <c r="F200" s="212"/>
      <c r="G200" s="212"/>
    </row>
    <row r="201" spans="2:7" ht="17" thickBot="1" x14ac:dyDescent="0.25">
      <c r="B201" s="212"/>
      <c r="C201" s="213"/>
      <c r="D201" s="212"/>
      <c r="E201" s="212"/>
      <c r="F201" s="212"/>
      <c r="G201" s="212"/>
    </row>
    <row r="202" spans="2:7" ht="17" thickTop="1" x14ac:dyDescent="0.2">
      <c r="B202" s="537" t="s">
        <v>18</v>
      </c>
      <c r="C202" s="538"/>
      <c r="D202" s="538"/>
      <c r="E202" s="538"/>
      <c r="F202" s="148"/>
      <c r="G202" s="149" t="s">
        <v>439</v>
      </c>
    </row>
    <row r="203" spans="2:7" x14ac:dyDescent="0.2">
      <c r="B203" s="539"/>
      <c r="C203" s="540"/>
      <c r="D203" s="540"/>
      <c r="E203" s="540"/>
      <c r="F203" s="150"/>
      <c r="G203" s="151" t="s">
        <v>471</v>
      </c>
    </row>
    <row r="204" spans="2:7" x14ac:dyDescent="0.2">
      <c r="B204" s="152" t="s">
        <v>1</v>
      </c>
      <c r="C204" s="153" t="s">
        <v>2</v>
      </c>
      <c r="D204" s="153" t="s">
        <v>3</v>
      </c>
      <c r="E204" s="153" t="s">
        <v>441</v>
      </c>
      <c r="F204" s="154" t="s">
        <v>442</v>
      </c>
      <c r="G204" s="155" t="s">
        <v>443</v>
      </c>
    </row>
    <row r="205" spans="2:7" x14ac:dyDescent="0.2">
      <c r="B205" s="157"/>
      <c r="C205" s="158"/>
      <c r="D205" s="156"/>
      <c r="E205" s="156"/>
      <c r="F205" s="159"/>
      <c r="G205" s="160"/>
    </row>
    <row r="206" spans="2:7" x14ac:dyDescent="0.2">
      <c r="B206" s="161" t="s">
        <v>444</v>
      </c>
      <c r="C206" s="158"/>
      <c r="D206" s="156"/>
      <c r="E206" s="156"/>
      <c r="F206" s="159"/>
      <c r="G206" s="160"/>
    </row>
    <row r="207" spans="2:7" x14ac:dyDescent="0.2">
      <c r="B207" s="162" t="s">
        <v>470</v>
      </c>
      <c r="C207" s="163" t="s">
        <v>2</v>
      </c>
      <c r="D207" s="164">
        <v>0.27</v>
      </c>
      <c r="E207" s="165">
        <v>14.04</v>
      </c>
      <c r="F207" s="166">
        <v>127091.44</v>
      </c>
      <c r="G207" s="167">
        <v>39338.379999999997</v>
      </c>
    </row>
    <row r="208" spans="2:7" x14ac:dyDescent="0.2">
      <c r="B208" s="168"/>
      <c r="C208" s="169"/>
      <c r="D208" s="170"/>
      <c r="E208" s="170"/>
      <c r="F208" s="171"/>
      <c r="G208" s="172"/>
    </row>
    <row r="209" spans="2:7" x14ac:dyDescent="0.2">
      <c r="B209" s="157"/>
      <c r="C209" s="158"/>
      <c r="D209" s="156"/>
      <c r="E209" s="156"/>
      <c r="F209" s="159" t="s">
        <v>446</v>
      </c>
      <c r="G209" s="173">
        <v>39338.379999999997</v>
      </c>
    </row>
    <row r="210" spans="2:7" x14ac:dyDescent="0.2">
      <c r="B210" s="161" t="s">
        <v>447</v>
      </c>
      <c r="C210" s="158"/>
      <c r="D210" s="156"/>
      <c r="E210" s="156"/>
      <c r="F210" s="159"/>
      <c r="G210" s="160"/>
    </row>
    <row r="211" spans="2:7" x14ac:dyDescent="0.2">
      <c r="B211" s="174" t="s">
        <v>448</v>
      </c>
      <c r="C211" s="175" t="s">
        <v>2</v>
      </c>
      <c r="D211" s="176">
        <v>6.3159999999999998</v>
      </c>
      <c r="E211" s="223"/>
      <c r="F211" s="214">
        <v>1208.1199999999999</v>
      </c>
      <c r="G211" s="179">
        <v>7630.23</v>
      </c>
    </row>
    <row r="212" spans="2:7" x14ac:dyDescent="0.2">
      <c r="B212" s="180"/>
      <c r="C212" s="169"/>
      <c r="D212" s="181"/>
      <c r="E212" s="170"/>
      <c r="F212" s="171"/>
      <c r="G212" s="182"/>
    </row>
    <row r="213" spans="2:7" x14ac:dyDescent="0.2">
      <c r="B213" s="157"/>
      <c r="C213" s="158"/>
      <c r="D213" s="156"/>
      <c r="E213" s="156"/>
      <c r="F213" s="159" t="s">
        <v>449</v>
      </c>
      <c r="G213" s="183">
        <v>7630.23</v>
      </c>
    </row>
    <row r="214" spans="2:7" x14ac:dyDescent="0.2">
      <c r="B214" s="161" t="s">
        <v>450</v>
      </c>
      <c r="C214" s="158"/>
      <c r="D214" s="156"/>
      <c r="E214" s="156"/>
      <c r="F214" s="159"/>
      <c r="G214" s="160"/>
    </row>
    <row r="215" spans="2:7" x14ac:dyDescent="0.2">
      <c r="B215" s="184" t="s">
        <v>451</v>
      </c>
      <c r="C215" s="185" t="s">
        <v>2</v>
      </c>
      <c r="D215" s="178">
        <v>52084.39</v>
      </c>
      <c r="E215" s="186"/>
      <c r="F215" s="187">
        <v>0.02</v>
      </c>
      <c r="G215" s="188">
        <v>1041.68</v>
      </c>
    </row>
    <row r="216" spans="2:7" x14ac:dyDescent="0.2">
      <c r="B216" s="157"/>
      <c r="C216" s="158"/>
      <c r="D216" s="156"/>
      <c r="E216" s="156"/>
      <c r="F216" s="159" t="s">
        <v>452</v>
      </c>
      <c r="G216" s="183">
        <v>1041.68</v>
      </c>
    </row>
    <row r="217" spans="2:7" x14ac:dyDescent="0.2">
      <c r="B217" s="161" t="s">
        <v>453</v>
      </c>
      <c r="C217" s="158"/>
      <c r="D217" s="156"/>
      <c r="E217" s="156"/>
      <c r="F217" s="159"/>
      <c r="G217" s="160"/>
    </row>
    <row r="218" spans="2:7" x14ac:dyDescent="0.2">
      <c r="B218" s="189" t="s">
        <v>454</v>
      </c>
      <c r="C218" s="190" t="s">
        <v>2</v>
      </c>
      <c r="D218" s="191">
        <v>4.2000000000000003E-2</v>
      </c>
      <c r="E218" s="192"/>
      <c r="F218" s="193">
        <v>121500</v>
      </c>
      <c r="G218" s="194">
        <v>5115.78</v>
      </c>
    </row>
    <row r="219" spans="2:7" x14ac:dyDescent="0.2">
      <c r="B219" s="195" t="s">
        <v>455</v>
      </c>
      <c r="C219" s="196" t="s">
        <v>456</v>
      </c>
      <c r="D219" s="178">
        <v>52084.39</v>
      </c>
      <c r="E219" s="197"/>
      <c r="F219" s="198"/>
      <c r="G219" s="199" t="s">
        <v>457</v>
      </c>
    </row>
    <row r="220" spans="2:7" x14ac:dyDescent="0.2">
      <c r="B220" s="200" t="s">
        <v>458</v>
      </c>
      <c r="C220" s="201" t="s">
        <v>456</v>
      </c>
      <c r="D220" s="178">
        <v>52084.39</v>
      </c>
      <c r="E220" s="202"/>
      <c r="F220" s="203"/>
      <c r="G220" s="204" t="s">
        <v>457</v>
      </c>
    </row>
    <row r="221" spans="2:7" x14ac:dyDescent="0.2">
      <c r="B221" s="180"/>
      <c r="C221" s="169"/>
      <c r="D221" s="205"/>
      <c r="E221" s="170"/>
      <c r="F221" s="171"/>
      <c r="G221" s="182"/>
    </row>
    <row r="222" spans="2:7" x14ac:dyDescent="0.2">
      <c r="B222" s="157"/>
      <c r="C222" s="158"/>
      <c r="D222" s="156"/>
      <c r="E222" s="156"/>
      <c r="F222" s="159" t="s">
        <v>459</v>
      </c>
      <c r="G222" s="183">
        <v>5115.78</v>
      </c>
    </row>
    <row r="223" spans="2:7" x14ac:dyDescent="0.2">
      <c r="B223" s="157"/>
      <c r="C223" s="158"/>
      <c r="D223" s="156"/>
      <c r="E223" s="156"/>
      <c r="F223" s="159"/>
      <c r="G223" s="160"/>
    </row>
    <row r="224" spans="2:7" ht="17" thickBot="1" x14ac:dyDescent="0.25">
      <c r="B224" s="206"/>
      <c r="C224" s="207"/>
      <c r="D224" s="208"/>
      <c r="E224" s="209" t="s">
        <v>460</v>
      </c>
      <c r="F224" s="210" t="s">
        <v>461</v>
      </c>
      <c r="G224" s="211">
        <v>53126</v>
      </c>
    </row>
    <row r="225" spans="2:7" ht="17" thickTop="1" x14ac:dyDescent="0.2">
      <c r="B225" s="212"/>
      <c r="C225" s="213"/>
      <c r="D225" s="212"/>
      <c r="E225" s="212"/>
      <c r="F225" s="212"/>
      <c r="G225" s="212"/>
    </row>
    <row r="226" spans="2:7" ht="17" thickBot="1" x14ac:dyDescent="0.25">
      <c r="B226" s="212"/>
      <c r="C226" s="213"/>
      <c r="D226" s="212"/>
      <c r="E226" s="212"/>
      <c r="F226" s="212"/>
      <c r="G226" s="212"/>
    </row>
    <row r="227" spans="2:7" ht="17" thickTop="1" x14ac:dyDescent="0.2">
      <c r="B227" s="537" t="s">
        <v>19</v>
      </c>
      <c r="C227" s="538"/>
      <c r="D227" s="538"/>
      <c r="E227" s="538"/>
      <c r="F227" s="148"/>
      <c r="G227" s="149" t="s">
        <v>439</v>
      </c>
    </row>
    <row r="228" spans="2:7" x14ac:dyDescent="0.2">
      <c r="B228" s="539"/>
      <c r="C228" s="540"/>
      <c r="D228" s="540"/>
      <c r="E228" s="540"/>
      <c r="F228" s="150"/>
      <c r="G228" s="151" t="s">
        <v>472</v>
      </c>
    </row>
    <row r="229" spans="2:7" x14ac:dyDescent="0.2">
      <c r="B229" s="152" t="s">
        <v>1</v>
      </c>
      <c r="C229" s="153" t="s">
        <v>2</v>
      </c>
      <c r="D229" s="153" t="s">
        <v>3</v>
      </c>
      <c r="E229" s="153" t="s">
        <v>441</v>
      </c>
      <c r="F229" s="154" t="s">
        <v>442</v>
      </c>
      <c r="G229" s="155" t="s">
        <v>443</v>
      </c>
    </row>
    <row r="230" spans="2:7" x14ac:dyDescent="0.2">
      <c r="B230" s="157"/>
      <c r="C230" s="158"/>
      <c r="D230" s="156"/>
      <c r="E230" s="156"/>
      <c r="F230" s="159"/>
      <c r="G230" s="160"/>
    </row>
    <row r="231" spans="2:7" x14ac:dyDescent="0.2">
      <c r="B231" s="161" t="s">
        <v>444</v>
      </c>
      <c r="C231" s="158"/>
      <c r="D231" s="156"/>
      <c r="E231" s="156"/>
      <c r="F231" s="159"/>
      <c r="G231" s="160"/>
    </row>
    <row r="232" spans="2:7" x14ac:dyDescent="0.2">
      <c r="B232" s="162" t="s">
        <v>470</v>
      </c>
      <c r="C232" s="163" t="s">
        <v>2</v>
      </c>
      <c r="D232" s="164">
        <v>0.22</v>
      </c>
      <c r="E232" s="165">
        <v>14.04</v>
      </c>
      <c r="F232" s="166">
        <v>127091.44</v>
      </c>
      <c r="G232" s="167">
        <v>31938.09</v>
      </c>
    </row>
    <row r="233" spans="2:7" x14ac:dyDescent="0.2">
      <c r="B233" s="168"/>
      <c r="C233" s="169"/>
      <c r="D233" s="170"/>
      <c r="E233" s="170"/>
      <c r="F233" s="171"/>
      <c r="G233" s="172"/>
    </row>
    <row r="234" spans="2:7" x14ac:dyDescent="0.2">
      <c r="B234" s="157"/>
      <c r="C234" s="158"/>
      <c r="D234" s="156"/>
      <c r="E234" s="156"/>
      <c r="F234" s="159" t="s">
        <v>446</v>
      </c>
      <c r="G234" s="173">
        <v>31938.09</v>
      </c>
    </row>
    <row r="235" spans="2:7" x14ac:dyDescent="0.2">
      <c r="B235" s="161" t="s">
        <v>447</v>
      </c>
      <c r="C235" s="158"/>
      <c r="D235" s="156"/>
      <c r="E235" s="156"/>
      <c r="F235" s="159"/>
      <c r="G235" s="160"/>
    </row>
    <row r="236" spans="2:7" x14ac:dyDescent="0.2">
      <c r="B236" s="174" t="s">
        <v>448</v>
      </c>
      <c r="C236" s="175" t="s">
        <v>2</v>
      </c>
      <c r="D236" s="176">
        <v>6.3159999999999998</v>
      </c>
      <c r="E236" s="223"/>
      <c r="F236" s="214">
        <v>1208.1199999999999</v>
      </c>
      <c r="G236" s="179">
        <v>7630.23</v>
      </c>
    </row>
    <row r="237" spans="2:7" x14ac:dyDescent="0.2">
      <c r="B237" s="180"/>
      <c r="C237" s="169"/>
      <c r="D237" s="181"/>
      <c r="E237" s="170"/>
      <c r="F237" s="171"/>
      <c r="G237" s="182"/>
    </row>
    <row r="238" spans="2:7" x14ac:dyDescent="0.2">
      <c r="B238" s="157"/>
      <c r="C238" s="158"/>
      <c r="D238" s="156"/>
      <c r="E238" s="156"/>
      <c r="F238" s="159" t="s">
        <v>449</v>
      </c>
      <c r="G238" s="183">
        <v>7630.23</v>
      </c>
    </row>
    <row r="239" spans="2:7" x14ac:dyDescent="0.2">
      <c r="B239" s="161" t="s">
        <v>450</v>
      </c>
      <c r="C239" s="158"/>
      <c r="D239" s="156"/>
      <c r="E239" s="156"/>
      <c r="F239" s="159"/>
      <c r="G239" s="160"/>
    </row>
    <row r="240" spans="2:7" x14ac:dyDescent="0.2">
      <c r="B240" s="184" t="s">
        <v>451</v>
      </c>
      <c r="C240" s="185" t="s">
        <v>2</v>
      </c>
      <c r="D240" s="178">
        <v>44684.1</v>
      </c>
      <c r="E240" s="186"/>
      <c r="F240" s="187">
        <v>0.02</v>
      </c>
      <c r="G240" s="188">
        <v>893.68</v>
      </c>
    </row>
    <row r="241" spans="2:7" x14ac:dyDescent="0.2">
      <c r="B241" s="157"/>
      <c r="C241" s="158"/>
      <c r="D241" s="156"/>
      <c r="E241" s="156"/>
      <c r="F241" s="159" t="s">
        <v>452</v>
      </c>
      <c r="G241" s="183">
        <v>893.68</v>
      </c>
    </row>
    <row r="242" spans="2:7" x14ac:dyDescent="0.2">
      <c r="B242" s="161" t="s">
        <v>453</v>
      </c>
      <c r="C242" s="158"/>
      <c r="D242" s="156"/>
      <c r="E242" s="156"/>
      <c r="F242" s="159"/>
      <c r="G242" s="160"/>
    </row>
    <row r="243" spans="2:7" x14ac:dyDescent="0.2">
      <c r="B243" s="189" t="s">
        <v>454</v>
      </c>
      <c r="C243" s="190" t="s">
        <v>2</v>
      </c>
      <c r="D243" s="191">
        <v>4.2000000000000003E-2</v>
      </c>
      <c r="E243" s="192"/>
      <c r="F243" s="193">
        <v>121500</v>
      </c>
      <c r="G243" s="194">
        <v>5115.78</v>
      </c>
    </row>
    <row r="244" spans="2:7" x14ac:dyDescent="0.2">
      <c r="B244" s="195" t="s">
        <v>455</v>
      </c>
      <c r="C244" s="196" t="s">
        <v>456</v>
      </c>
      <c r="D244" s="178">
        <v>44684.1</v>
      </c>
      <c r="E244" s="197"/>
      <c r="F244" s="198"/>
      <c r="G244" s="199" t="s">
        <v>457</v>
      </c>
    </row>
    <row r="245" spans="2:7" x14ac:dyDescent="0.2">
      <c r="B245" s="200" t="s">
        <v>458</v>
      </c>
      <c r="C245" s="201" t="s">
        <v>456</v>
      </c>
      <c r="D245" s="178">
        <v>44684.1</v>
      </c>
      <c r="E245" s="202"/>
      <c r="F245" s="203"/>
      <c r="G245" s="204" t="s">
        <v>457</v>
      </c>
    </row>
    <row r="246" spans="2:7" x14ac:dyDescent="0.2">
      <c r="B246" s="180"/>
      <c r="C246" s="169"/>
      <c r="D246" s="205"/>
      <c r="E246" s="170"/>
      <c r="F246" s="171"/>
      <c r="G246" s="182"/>
    </row>
    <row r="247" spans="2:7" x14ac:dyDescent="0.2">
      <c r="B247" s="157"/>
      <c r="C247" s="158"/>
      <c r="D247" s="156"/>
      <c r="E247" s="156"/>
      <c r="F247" s="159" t="s">
        <v>459</v>
      </c>
      <c r="G247" s="183">
        <v>5115.78</v>
      </c>
    </row>
    <row r="248" spans="2:7" x14ac:dyDescent="0.2">
      <c r="B248" s="157"/>
      <c r="C248" s="158"/>
      <c r="D248" s="156"/>
      <c r="E248" s="156"/>
      <c r="F248" s="159"/>
      <c r="G248" s="160"/>
    </row>
    <row r="249" spans="2:7" ht="17" thickBot="1" x14ac:dyDescent="0.25">
      <c r="B249" s="206"/>
      <c r="C249" s="207"/>
      <c r="D249" s="208"/>
      <c r="E249" s="209" t="s">
        <v>460</v>
      </c>
      <c r="F249" s="210">
        <v>14174.93</v>
      </c>
      <c r="G249" s="211">
        <v>45578</v>
      </c>
    </row>
    <row r="250" spans="2:7" ht="17" thickTop="1" x14ac:dyDescent="0.2">
      <c r="B250" s="212"/>
      <c r="C250" s="213"/>
      <c r="D250" s="212"/>
      <c r="E250" s="212"/>
      <c r="F250" s="212"/>
      <c r="G250" s="212"/>
    </row>
    <row r="251" spans="2:7" ht="17" thickBot="1" x14ac:dyDescent="0.25">
      <c r="B251" s="212"/>
      <c r="C251" s="213"/>
      <c r="D251" s="212"/>
      <c r="E251" s="212"/>
      <c r="F251" s="212"/>
      <c r="G251" s="212"/>
    </row>
    <row r="252" spans="2:7" ht="17" thickTop="1" x14ac:dyDescent="0.2">
      <c r="B252" s="537" t="s">
        <v>20</v>
      </c>
      <c r="C252" s="538"/>
      <c r="D252" s="538"/>
      <c r="E252" s="538"/>
      <c r="F252" s="148"/>
      <c r="G252" s="149" t="s">
        <v>439</v>
      </c>
    </row>
    <row r="253" spans="2:7" x14ac:dyDescent="0.2">
      <c r="B253" s="539"/>
      <c r="C253" s="540"/>
      <c r="D253" s="540"/>
      <c r="E253" s="540"/>
      <c r="F253" s="150"/>
      <c r="G253" s="151" t="s">
        <v>473</v>
      </c>
    </row>
    <row r="254" spans="2:7" x14ac:dyDescent="0.2">
      <c r="B254" s="152" t="s">
        <v>1</v>
      </c>
      <c r="C254" s="153" t="s">
        <v>2</v>
      </c>
      <c r="D254" s="153" t="s">
        <v>3</v>
      </c>
      <c r="E254" s="153" t="s">
        <v>441</v>
      </c>
      <c r="F254" s="154" t="s">
        <v>442</v>
      </c>
      <c r="G254" s="155" t="s">
        <v>443</v>
      </c>
    </row>
    <row r="255" spans="2:7" x14ac:dyDescent="0.2">
      <c r="B255" s="157"/>
      <c r="C255" s="158"/>
      <c r="D255" s="156"/>
      <c r="E255" s="156"/>
      <c r="F255" s="159"/>
      <c r="G255" s="160"/>
    </row>
    <row r="256" spans="2:7" x14ac:dyDescent="0.2">
      <c r="B256" s="161" t="s">
        <v>444</v>
      </c>
      <c r="C256" s="158"/>
      <c r="D256" s="156"/>
      <c r="E256" s="156"/>
      <c r="F256" s="159"/>
      <c r="G256" s="160"/>
    </row>
    <row r="257" spans="2:7" x14ac:dyDescent="0.2">
      <c r="B257" s="162" t="s">
        <v>470</v>
      </c>
      <c r="C257" s="163" t="s">
        <v>2</v>
      </c>
      <c r="D257" s="164">
        <v>0.17</v>
      </c>
      <c r="E257" s="165">
        <v>14.04</v>
      </c>
      <c r="F257" s="166">
        <v>127091.44</v>
      </c>
      <c r="G257" s="167">
        <v>24148.31</v>
      </c>
    </row>
    <row r="258" spans="2:7" x14ac:dyDescent="0.2">
      <c r="B258" s="200"/>
      <c r="C258" s="169"/>
      <c r="D258" s="170"/>
      <c r="E258" s="170"/>
      <c r="F258" s="171"/>
      <c r="G258" s="167"/>
    </row>
    <row r="259" spans="2:7" x14ac:dyDescent="0.2">
      <c r="B259" s="157"/>
      <c r="C259" s="158"/>
      <c r="D259" s="156"/>
      <c r="E259" s="156"/>
      <c r="F259" s="159" t="s">
        <v>446</v>
      </c>
      <c r="G259" s="173">
        <v>24148.31</v>
      </c>
    </row>
    <row r="260" spans="2:7" x14ac:dyDescent="0.2">
      <c r="B260" s="161" t="s">
        <v>447</v>
      </c>
      <c r="C260" s="158"/>
      <c r="D260" s="156"/>
      <c r="E260" s="156"/>
      <c r="F260" s="159"/>
      <c r="G260" s="160"/>
    </row>
    <row r="261" spans="2:7" x14ac:dyDescent="0.2">
      <c r="B261" s="174" t="s">
        <v>448</v>
      </c>
      <c r="C261" s="175" t="s">
        <v>2</v>
      </c>
      <c r="D261" s="176">
        <v>4.2110000000000003</v>
      </c>
      <c r="E261" s="223"/>
      <c r="F261" s="214">
        <v>1208.1199999999999</v>
      </c>
      <c r="G261" s="179">
        <v>5086.82</v>
      </c>
    </row>
    <row r="262" spans="2:7" x14ac:dyDescent="0.2">
      <c r="B262" s="180"/>
      <c r="C262" s="169"/>
      <c r="D262" s="181"/>
      <c r="E262" s="170"/>
      <c r="F262" s="171"/>
      <c r="G262" s="182"/>
    </row>
    <row r="263" spans="2:7" x14ac:dyDescent="0.2">
      <c r="B263" s="157"/>
      <c r="C263" s="158"/>
      <c r="D263" s="156"/>
      <c r="E263" s="156"/>
      <c r="F263" s="159" t="s">
        <v>449</v>
      </c>
      <c r="G263" s="183">
        <v>5086.82</v>
      </c>
    </row>
    <row r="264" spans="2:7" x14ac:dyDescent="0.2">
      <c r="B264" s="161" t="s">
        <v>450</v>
      </c>
      <c r="C264" s="158"/>
      <c r="D264" s="156"/>
      <c r="E264" s="156"/>
      <c r="F264" s="159"/>
      <c r="G264" s="160"/>
    </row>
    <row r="265" spans="2:7" x14ac:dyDescent="0.2">
      <c r="B265" s="184" t="s">
        <v>451</v>
      </c>
      <c r="C265" s="185" t="s">
        <v>2</v>
      </c>
      <c r="D265" s="178">
        <v>30087.759999999998</v>
      </c>
      <c r="E265" s="186"/>
      <c r="F265" s="187">
        <v>0.02</v>
      </c>
      <c r="G265" s="188">
        <v>601.75</v>
      </c>
    </row>
    <row r="266" spans="2:7" x14ac:dyDescent="0.2">
      <c r="B266" s="157"/>
      <c r="C266" s="158"/>
      <c r="D266" s="156"/>
      <c r="E266" s="156"/>
      <c r="F266" s="159" t="s">
        <v>452</v>
      </c>
      <c r="G266" s="183">
        <v>601.75</v>
      </c>
    </row>
    <row r="267" spans="2:7" x14ac:dyDescent="0.2">
      <c r="B267" s="161" t="s">
        <v>453</v>
      </c>
      <c r="C267" s="158"/>
      <c r="D267" s="156"/>
      <c r="E267" s="156"/>
      <c r="F267" s="159"/>
      <c r="G267" s="160"/>
    </row>
    <row r="268" spans="2:7" x14ac:dyDescent="0.2">
      <c r="B268" s="162" t="s">
        <v>454</v>
      </c>
      <c r="C268" s="190" t="s">
        <v>2</v>
      </c>
      <c r="D268" s="191">
        <v>7.0000000000000001E-3</v>
      </c>
      <c r="E268" s="192"/>
      <c r="F268" s="193">
        <v>121500</v>
      </c>
      <c r="G268" s="167">
        <v>852.63</v>
      </c>
    </row>
    <row r="269" spans="2:7" x14ac:dyDescent="0.2">
      <c r="B269" s="216" t="s">
        <v>455</v>
      </c>
      <c r="C269" s="196" t="s">
        <v>456</v>
      </c>
      <c r="D269" s="178">
        <v>30087.759999999998</v>
      </c>
      <c r="E269" s="197"/>
      <c r="F269" s="198"/>
      <c r="G269" s="217" t="s">
        <v>465</v>
      </c>
    </row>
    <row r="270" spans="2:7" x14ac:dyDescent="0.2">
      <c r="B270" s="195" t="s">
        <v>458</v>
      </c>
      <c r="C270" s="201" t="s">
        <v>456</v>
      </c>
      <c r="D270" s="178">
        <v>30087.759999999998</v>
      </c>
      <c r="E270" s="202"/>
      <c r="F270" s="203"/>
      <c r="G270" s="199" t="s">
        <v>457</v>
      </c>
    </row>
    <row r="271" spans="2:7" x14ac:dyDescent="0.2">
      <c r="B271" s="157"/>
      <c r="C271" s="158"/>
      <c r="D271" s="156"/>
      <c r="E271" s="156"/>
      <c r="F271" s="159" t="s">
        <v>459</v>
      </c>
      <c r="G271" s="173">
        <v>852.63</v>
      </c>
    </row>
    <row r="272" spans="2:7" x14ac:dyDescent="0.2">
      <c r="B272" s="157"/>
      <c r="C272" s="158"/>
      <c r="D272" s="156"/>
      <c r="E272" s="156"/>
      <c r="F272" s="159"/>
      <c r="G272" s="160"/>
    </row>
    <row r="273" spans="2:7" ht="17" thickBot="1" x14ac:dyDescent="0.25">
      <c r="B273" s="206"/>
      <c r="C273" s="207"/>
      <c r="D273" s="208"/>
      <c r="E273" s="209" t="s">
        <v>460</v>
      </c>
      <c r="F273" s="210" t="s">
        <v>461</v>
      </c>
      <c r="G273" s="211">
        <v>30690</v>
      </c>
    </row>
    <row r="274" spans="2:7" ht="17" thickTop="1" x14ac:dyDescent="0.2">
      <c r="B274" s="212"/>
      <c r="C274" s="213"/>
      <c r="D274" s="212"/>
      <c r="E274" s="212"/>
      <c r="F274" s="212"/>
      <c r="G274" s="212"/>
    </row>
    <row r="275" spans="2:7" ht="17" thickBot="1" x14ac:dyDescent="0.25">
      <c r="B275" s="212"/>
      <c r="C275" s="213"/>
      <c r="D275" s="212"/>
      <c r="E275" s="212"/>
      <c r="F275" s="212"/>
      <c r="G275" s="212"/>
    </row>
    <row r="276" spans="2:7" ht="17" thickTop="1" x14ac:dyDescent="0.2">
      <c r="B276" s="537" t="s">
        <v>21</v>
      </c>
      <c r="C276" s="538"/>
      <c r="D276" s="538"/>
      <c r="E276" s="538"/>
      <c r="F276" s="148"/>
      <c r="G276" s="149" t="s">
        <v>439</v>
      </c>
    </row>
    <row r="277" spans="2:7" x14ac:dyDescent="0.2">
      <c r="B277" s="539"/>
      <c r="C277" s="540"/>
      <c r="D277" s="540"/>
      <c r="E277" s="540"/>
      <c r="F277" s="150"/>
      <c r="G277" s="151" t="s">
        <v>474</v>
      </c>
    </row>
    <row r="278" spans="2:7" x14ac:dyDescent="0.2">
      <c r="B278" s="152" t="s">
        <v>1</v>
      </c>
      <c r="C278" s="153" t="s">
        <v>2</v>
      </c>
      <c r="D278" s="153" t="s">
        <v>3</v>
      </c>
      <c r="E278" s="153" t="s">
        <v>441</v>
      </c>
      <c r="F278" s="154" t="s">
        <v>442</v>
      </c>
      <c r="G278" s="155" t="s">
        <v>443</v>
      </c>
    </row>
    <row r="279" spans="2:7" x14ac:dyDescent="0.2">
      <c r="B279" s="157"/>
      <c r="C279" s="158"/>
      <c r="D279" s="156"/>
      <c r="E279" s="156"/>
      <c r="F279" s="159"/>
      <c r="G279" s="160"/>
    </row>
    <row r="280" spans="2:7" x14ac:dyDescent="0.2">
      <c r="B280" s="161" t="s">
        <v>444</v>
      </c>
      <c r="C280" s="158"/>
      <c r="D280" s="156"/>
      <c r="E280" s="156"/>
      <c r="F280" s="159"/>
      <c r="G280" s="160"/>
    </row>
    <row r="281" spans="2:7" x14ac:dyDescent="0.2">
      <c r="B281" s="162" t="s">
        <v>470</v>
      </c>
      <c r="C281" s="163" t="s">
        <v>2</v>
      </c>
      <c r="D281" s="164">
        <v>0.11</v>
      </c>
      <c r="E281" s="165">
        <v>14.04</v>
      </c>
      <c r="F281" s="166">
        <v>127091.44</v>
      </c>
      <c r="G281" s="167">
        <v>16358.53</v>
      </c>
    </row>
    <row r="282" spans="2:7" x14ac:dyDescent="0.2">
      <c r="B282" s="184"/>
      <c r="C282" s="169"/>
      <c r="D282" s="170"/>
      <c r="E282" s="170"/>
      <c r="F282" s="171"/>
      <c r="G282" s="188"/>
    </row>
    <row r="283" spans="2:7" x14ac:dyDescent="0.2">
      <c r="B283" s="157"/>
      <c r="C283" s="158"/>
      <c r="D283" s="156"/>
      <c r="E283" s="156"/>
      <c r="F283" s="159" t="s">
        <v>446</v>
      </c>
      <c r="G283" s="183">
        <v>16358.53</v>
      </c>
    </row>
    <row r="284" spans="2:7" x14ac:dyDescent="0.2">
      <c r="B284" s="161" t="s">
        <v>447</v>
      </c>
      <c r="C284" s="158"/>
      <c r="D284" s="156"/>
      <c r="E284" s="156"/>
      <c r="F284" s="159"/>
      <c r="G284" s="160"/>
    </row>
    <row r="285" spans="2:7" x14ac:dyDescent="0.2">
      <c r="B285" s="174" t="s">
        <v>448</v>
      </c>
      <c r="C285" s="175" t="s">
        <v>2</v>
      </c>
      <c r="D285" s="176">
        <v>1.754</v>
      </c>
      <c r="E285" s="223"/>
      <c r="F285" s="214">
        <v>1208.1199999999999</v>
      </c>
      <c r="G285" s="179">
        <v>2119.5</v>
      </c>
    </row>
    <row r="286" spans="2:7" x14ac:dyDescent="0.2">
      <c r="B286" s="180"/>
      <c r="C286" s="169"/>
      <c r="D286" s="181"/>
      <c r="E286" s="170"/>
      <c r="F286" s="171"/>
      <c r="G286" s="182"/>
    </row>
    <row r="287" spans="2:7" x14ac:dyDescent="0.2">
      <c r="B287" s="157"/>
      <c r="C287" s="158"/>
      <c r="D287" s="156"/>
      <c r="E287" s="156"/>
      <c r="F287" s="159" t="s">
        <v>449</v>
      </c>
      <c r="G287" s="183">
        <v>2119.5</v>
      </c>
    </row>
    <row r="288" spans="2:7" x14ac:dyDescent="0.2">
      <c r="B288" s="161" t="s">
        <v>450</v>
      </c>
      <c r="C288" s="158"/>
      <c r="D288" s="156"/>
      <c r="E288" s="156"/>
      <c r="F288" s="159"/>
      <c r="G288" s="160"/>
    </row>
    <row r="289" spans="2:7" x14ac:dyDescent="0.2">
      <c r="B289" s="184" t="s">
        <v>451</v>
      </c>
      <c r="C289" s="185" t="s">
        <v>2</v>
      </c>
      <c r="D289" s="178">
        <v>19188.55</v>
      </c>
      <c r="E289" s="186"/>
      <c r="F289" s="187">
        <v>0.02</v>
      </c>
      <c r="G289" s="188">
        <v>383.77</v>
      </c>
    </row>
    <row r="290" spans="2:7" x14ac:dyDescent="0.2">
      <c r="B290" s="157"/>
      <c r="C290" s="158"/>
      <c r="D290" s="156"/>
      <c r="E290" s="156"/>
      <c r="F290" s="159" t="s">
        <v>452</v>
      </c>
      <c r="G290" s="183">
        <v>383.77</v>
      </c>
    </row>
    <row r="291" spans="2:7" x14ac:dyDescent="0.2">
      <c r="B291" s="161" t="s">
        <v>453</v>
      </c>
      <c r="C291" s="158"/>
      <c r="D291" s="156"/>
      <c r="E291" s="156"/>
      <c r="F291" s="159"/>
      <c r="G291" s="160"/>
    </row>
    <row r="292" spans="2:7" x14ac:dyDescent="0.2">
      <c r="B292" s="189" t="s">
        <v>454</v>
      </c>
      <c r="C292" s="190" t="s">
        <v>2</v>
      </c>
      <c r="D292" s="191">
        <v>6.0000000000000001E-3</v>
      </c>
      <c r="E292" s="192"/>
      <c r="F292" s="193">
        <v>121500</v>
      </c>
      <c r="G292" s="194">
        <v>710.52</v>
      </c>
    </row>
    <row r="293" spans="2:7" x14ac:dyDescent="0.2">
      <c r="B293" s="195" t="s">
        <v>455</v>
      </c>
      <c r="C293" s="196" t="s">
        <v>456</v>
      </c>
      <c r="D293" s="178">
        <v>19188.55</v>
      </c>
      <c r="E293" s="197"/>
      <c r="F293" s="198"/>
      <c r="G293" s="199" t="s">
        <v>457</v>
      </c>
    </row>
    <row r="294" spans="2:7" x14ac:dyDescent="0.2">
      <c r="B294" s="200" t="s">
        <v>458</v>
      </c>
      <c r="C294" s="201" t="s">
        <v>456</v>
      </c>
      <c r="D294" s="178">
        <v>19188.55</v>
      </c>
      <c r="E294" s="202"/>
      <c r="F294" s="203"/>
      <c r="G294" s="204" t="s">
        <v>457</v>
      </c>
    </row>
    <row r="295" spans="2:7" x14ac:dyDescent="0.2">
      <c r="B295" s="180"/>
      <c r="C295" s="169"/>
      <c r="D295" s="205"/>
      <c r="E295" s="170"/>
      <c r="F295" s="171"/>
      <c r="G295" s="182"/>
    </row>
    <row r="296" spans="2:7" x14ac:dyDescent="0.2">
      <c r="B296" s="157"/>
      <c r="C296" s="158"/>
      <c r="D296" s="156"/>
      <c r="E296" s="156"/>
      <c r="F296" s="159" t="s">
        <v>459</v>
      </c>
      <c r="G296" s="183">
        <v>710.52</v>
      </c>
    </row>
    <row r="297" spans="2:7" x14ac:dyDescent="0.2">
      <c r="B297" s="157"/>
      <c r="C297" s="158"/>
      <c r="D297" s="156"/>
      <c r="E297" s="156"/>
      <c r="F297" s="159"/>
      <c r="G297" s="160"/>
    </row>
    <row r="298" spans="2:7" ht="17" thickBot="1" x14ac:dyDescent="0.25">
      <c r="B298" s="206"/>
      <c r="C298" s="207"/>
      <c r="D298" s="208"/>
      <c r="E298" s="209" t="s">
        <v>460</v>
      </c>
      <c r="F298" s="210">
        <v>11223.21</v>
      </c>
      <c r="G298" s="211">
        <v>19572</v>
      </c>
    </row>
    <row r="299" spans="2:7" ht="17" thickTop="1" x14ac:dyDescent="0.2">
      <c r="B299" s="212"/>
      <c r="C299" s="213"/>
      <c r="D299" s="212"/>
      <c r="E299" s="212"/>
      <c r="F299" s="212"/>
      <c r="G299" s="212"/>
    </row>
    <row r="300" spans="2:7" ht="17" thickBot="1" x14ac:dyDescent="0.25">
      <c r="B300" s="212"/>
      <c r="C300" s="213"/>
      <c r="D300" s="212"/>
      <c r="E300" s="212"/>
      <c r="F300" s="212"/>
      <c r="G300" s="212"/>
    </row>
    <row r="301" spans="2:7" ht="17" thickTop="1" x14ac:dyDescent="0.2">
      <c r="B301" s="537" t="s">
        <v>22</v>
      </c>
      <c r="C301" s="538"/>
      <c r="D301" s="538"/>
      <c r="E301" s="538"/>
      <c r="F301" s="148"/>
      <c r="G301" s="149" t="s">
        <v>439</v>
      </c>
    </row>
    <row r="302" spans="2:7" x14ac:dyDescent="0.2">
      <c r="B302" s="539"/>
      <c r="C302" s="540"/>
      <c r="D302" s="540"/>
      <c r="E302" s="540"/>
      <c r="F302" s="150"/>
      <c r="G302" s="151" t="s">
        <v>475</v>
      </c>
    </row>
    <row r="303" spans="2:7" x14ac:dyDescent="0.2">
      <c r="B303" s="152" t="s">
        <v>1</v>
      </c>
      <c r="C303" s="153" t="s">
        <v>2</v>
      </c>
      <c r="D303" s="153" t="s">
        <v>3</v>
      </c>
      <c r="E303" s="153" t="s">
        <v>441</v>
      </c>
      <c r="F303" s="154" t="s">
        <v>442</v>
      </c>
      <c r="G303" s="155" t="s">
        <v>443</v>
      </c>
    </row>
    <row r="304" spans="2:7" x14ac:dyDescent="0.2">
      <c r="B304" s="157"/>
      <c r="C304" s="158"/>
      <c r="D304" s="156"/>
      <c r="E304" s="156"/>
      <c r="F304" s="159"/>
      <c r="G304" s="160"/>
    </row>
    <row r="305" spans="2:7" x14ac:dyDescent="0.2">
      <c r="B305" s="161" t="s">
        <v>444</v>
      </c>
      <c r="C305" s="158"/>
      <c r="D305" s="156"/>
      <c r="E305" s="156"/>
      <c r="F305" s="159"/>
      <c r="G305" s="160"/>
    </row>
    <row r="306" spans="2:7" x14ac:dyDescent="0.2">
      <c r="B306" s="162" t="s">
        <v>470</v>
      </c>
      <c r="C306" s="163" t="s">
        <v>2</v>
      </c>
      <c r="D306" s="164">
        <v>0.09</v>
      </c>
      <c r="E306" s="165">
        <v>14.04</v>
      </c>
      <c r="F306" s="166">
        <v>127091.44</v>
      </c>
      <c r="G306" s="167">
        <v>12463.64</v>
      </c>
    </row>
    <row r="307" spans="2:7" x14ac:dyDescent="0.2">
      <c r="B307" s="184"/>
      <c r="C307" s="169"/>
      <c r="D307" s="170"/>
      <c r="E307" s="170"/>
      <c r="F307" s="171"/>
      <c r="G307" s="188"/>
    </row>
    <row r="308" spans="2:7" x14ac:dyDescent="0.2">
      <c r="B308" s="157"/>
      <c r="C308" s="158"/>
      <c r="D308" s="156"/>
      <c r="E308" s="156"/>
      <c r="F308" s="159" t="s">
        <v>446</v>
      </c>
      <c r="G308" s="183">
        <v>12463.64</v>
      </c>
    </row>
    <row r="309" spans="2:7" x14ac:dyDescent="0.2">
      <c r="B309" s="161" t="s">
        <v>447</v>
      </c>
      <c r="C309" s="158"/>
      <c r="D309" s="156"/>
      <c r="E309" s="156"/>
      <c r="F309" s="159"/>
      <c r="G309" s="160"/>
    </row>
    <row r="310" spans="2:7" x14ac:dyDescent="0.2">
      <c r="B310" s="174" t="s">
        <v>448</v>
      </c>
      <c r="C310" s="175" t="s">
        <v>2</v>
      </c>
      <c r="D310" s="176">
        <v>1.754</v>
      </c>
      <c r="E310" s="223"/>
      <c r="F310" s="214">
        <v>1208.1199999999999</v>
      </c>
      <c r="G310" s="179">
        <v>2119.5</v>
      </c>
    </row>
    <row r="311" spans="2:7" x14ac:dyDescent="0.2">
      <c r="B311" s="180"/>
      <c r="C311" s="169"/>
      <c r="D311" s="181"/>
      <c r="E311" s="170"/>
      <c r="F311" s="171"/>
      <c r="G311" s="182"/>
    </row>
    <row r="312" spans="2:7" x14ac:dyDescent="0.2">
      <c r="B312" s="157"/>
      <c r="C312" s="158"/>
      <c r="D312" s="156"/>
      <c r="E312" s="156"/>
      <c r="F312" s="159" t="s">
        <v>449</v>
      </c>
      <c r="G312" s="183">
        <v>2119.5</v>
      </c>
    </row>
    <row r="313" spans="2:7" x14ac:dyDescent="0.2">
      <c r="B313" s="161" t="s">
        <v>450</v>
      </c>
      <c r="C313" s="158"/>
      <c r="D313" s="156"/>
      <c r="E313" s="156"/>
      <c r="F313" s="159"/>
      <c r="G313" s="160"/>
    </row>
    <row r="314" spans="2:7" x14ac:dyDescent="0.2">
      <c r="B314" s="184" t="s">
        <v>451</v>
      </c>
      <c r="C314" s="185" t="s">
        <v>2</v>
      </c>
      <c r="D314" s="178">
        <v>15192.16</v>
      </c>
      <c r="E314" s="186"/>
      <c r="F314" s="187">
        <v>0.02</v>
      </c>
      <c r="G314" s="188">
        <v>303.83999999999997</v>
      </c>
    </row>
    <row r="315" spans="2:7" x14ac:dyDescent="0.2">
      <c r="B315" s="157"/>
      <c r="C315" s="158"/>
      <c r="D315" s="156"/>
      <c r="E315" s="156"/>
      <c r="F315" s="159" t="s">
        <v>452</v>
      </c>
      <c r="G315" s="183">
        <v>303.83999999999997</v>
      </c>
    </row>
    <row r="316" spans="2:7" x14ac:dyDescent="0.2">
      <c r="B316" s="161" t="s">
        <v>453</v>
      </c>
      <c r="C316" s="158"/>
      <c r="D316" s="156"/>
      <c r="E316" s="156"/>
      <c r="F316" s="159"/>
      <c r="G316" s="160"/>
    </row>
    <row r="317" spans="2:7" x14ac:dyDescent="0.2">
      <c r="B317" s="189" t="s">
        <v>454</v>
      </c>
      <c r="C317" s="190" t="s">
        <v>2</v>
      </c>
      <c r="D317" s="191">
        <v>5.0000000000000001E-3</v>
      </c>
      <c r="E317" s="192"/>
      <c r="F317" s="193">
        <v>121500</v>
      </c>
      <c r="G317" s="194">
        <v>609.02</v>
      </c>
    </row>
    <row r="318" spans="2:7" x14ac:dyDescent="0.2">
      <c r="B318" s="195" t="s">
        <v>455</v>
      </c>
      <c r="C318" s="196" t="s">
        <v>456</v>
      </c>
      <c r="D318" s="178">
        <v>15192.16</v>
      </c>
      <c r="E318" s="197"/>
      <c r="F318" s="198"/>
      <c r="G318" s="199" t="s">
        <v>457</v>
      </c>
    </row>
    <row r="319" spans="2:7" x14ac:dyDescent="0.2">
      <c r="B319" s="195" t="s">
        <v>458</v>
      </c>
      <c r="C319" s="201" t="s">
        <v>456</v>
      </c>
      <c r="D319" s="178">
        <v>15192.16</v>
      </c>
      <c r="E319" s="202"/>
      <c r="F319" s="203"/>
      <c r="G319" s="199" t="s">
        <v>457</v>
      </c>
    </row>
    <row r="320" spans="2:7" x14ac:dyDescent="0.2">
      <c r="B320" s="157"/>
      <c r="C320" s="158"/>
      <c r="D320" s="156"/>
      <c r="E320" s="156"/>
      <c r="F320" s="159" t="s">
        <v>459</v>
      </c>
      <c r="G320" s="173">
        <v>609.02</v>
      </c>
    </row>
    <row r="321" spans="2:7" x14ac:dyDescent="0.2">
      <c r="B321" s="157"/>
      <c r="C321" s="158"/>
      <c r="D321" s="156"/>
      <c r="E321" s="156"/>
      <c r="F321" s="159"/>
      <c r="G321" s="160"/>
    </row>
    <row r="322" spans="2:7" ht="17" thickBot="1" x14ac:dyDescent="0.25">
      <c r="B322" s="206"/>
      <c r="C322" s="207"/>
      <c r="D322" s="208"/>
      <c r="E322" s="209" t="s">
        <v>460</v>
      </c>
      <c r="F322" s="210">
        <v>7819.7</v>
      </c>
      <c r="G322" s="211">
        <v>15496</v>
      </c>
    </row>
    <row r="323" spans="2:7" ht="17" thickTop="1" x14ac:dyDescent="0.2">
      <c r="B323" s="212"/>
      <c r="C323" s="213"/>
      <c r="D323" s="212"/>
      <c r="E323" s="212"/>
      <c r="F323" s="212"/>
      <c r="G323" s="212"/>
    </row>
    <row r="324" spans="2:7" ht="17" thickBot="1" x14ac:dyDescent="0.25">
      <c r="B324" s="212"/>
      <c r="C324" s="213"/>
      <c r="D324" s="212"/>
      <c r="E324" s="212"/>
      <c r="F324" s="212"/>
      <c r="G324" s="212"/>
    </row>
    <row r="325" spans="2:7" ht="17" thickTop="1" x14ac:dyDescent="0.2">
      <c r="B325" s="537" t="s">
        <v>23</v>
      </c>
      <c r="C325" s="538"/>
      <c r="D325" s="538"/>
      <c r="E325" s="538"/>
      <c r="F325" s="148"/>
      <c r="G325" s="149" t="s">
        <v>439</v>
      </c>
    </row>
    <row r="326" spans="2:7" x14ac:dyDescent="0.2">
      <c r="B326" s="539"/>
      <c r="C326" s="540"/>
      <c r="D326" s="540"/>
      <c r="E326" s="540"/>
      <c r="F326" s="150"/>
      <c r="G326" s="151" t="s">
        <v>476</v>
      </c>
    </row>
    <row r="327" spans="2:7" x14ac:dyDescent="0.2">
      <c r="B327" s="152" t="s">
        <v>1</v>
      </c>
      <c r="C327" s="153" t="s">
        <v>2</v>
      </c>
      <c r="D327" s="153" t="s">
        <v>3</v>
      </c>
      <c r="E327" s="153" t="s">
        <v>441</v>
      </c>
      <c r="F327" s="154" t="s">
        <v>442</v>
      </c>
      <c r="G327" s="155" t="s">
        <v>443</v>
      </c>
    </row>
    <row r="328" spans="2:7" x14ac:dyDescent="0.2">
      <c r="B328" s="157"/>
      <c r="C328" s="158"/>
      <c r="D328" s="156"/>
      <c r="E328" s="156"/>
      <c r="F328" s="159"/>
      <c r="G328" s="160"/>
    </row>
    <row r="329" spans="2:7" x14ac:dyDescent="0.2">
      <c r="B329" s="161" t="s">
        <v>444</v>
      </c>
      <c r="C329" s="158"/>
      <c r="D329" s="156"/>
      <c r="E329" s="156"/>
      <c r="F329" s="159"/>
      <c r="G329" s="160"/>
    </row>
    <row r="330" spans="2:7" x14ac:dyDescent="0.2">
      <c r="B330" s="162" t="s">
        <v>470</v>
      </c>
      <c r="C330" s="163" t="s">
        <v>2</v>
      </c>
      <c r="D330" s="164">
        <v>0.06</v>
      </c>
      <c r="E330" s="165">
        <v>14.04</v>
      </c>
      <c r="F330" s="166">
        <v>127091.44</v>
      </c>
      <c r="G330" s="167">
        <v>8568.75</v>
      </c>
    </row>
    <row r="331" spans="2:7" x14ac:dyDescent="0.2">
      <c r="B331" s="184"/>
      <c r="C331" s="169"/>
      <c r="D331" s="170"/>
      <c r="E331" s="170"/>
      <c r="F331" s="171"/>
      <c r="G331" s="188"/>
    </row>
    <row r="332" spans="2:7" x14ac:dyDescent="0.2">
      <c r="B332" s="157"/>
      <c r="C332" s="158"/>
      <c r="D332" s="156"/>
      <c r="E332" s="156"/>
      <c r="F332" s="159" t="s">
        <v>446</v>
      </c>
      <c r="G332" s="183">
        <v>8568.75</v>
      </c>
    </row>
    <row r="333" spans="2:7" x14ac:dyDescent="0.2">
      <c r="B333" s="161" t="s">
        <v>447</v>
      </c>
      <c r="C333" s="158"/>
      <c r="D333" s="156"/>
      <c r="E333" s="156"/>
      <c r="F333" s="159"/>
      <c r="G333" s="160"/>
    </row>
    <row r="334" spans="2:7" x14ac:dyDescent="0.2">
      <c r="B334" s="174" t="s">
        <v>448</v>
      </c>
      <c r="C334" s="175" t="s">
        <v>2</v>
      </c>
      <c r="D334" s="176">
        <v>1.228</v>
      </c>
      <c r="E334" s="223"/>
      <c r="F334" s="214">
        <v>1208.1199999999999</v>
      </c>
      <c r="G334" s="179">
        <v>1483.65</v>
      </c>
    </row>
    <row r="335" spans="2:7" x14ac:dyDescent="0.2">
      <c r="B335" s="180"/>
      <c r="C335" s="169"/>
      <c r="D335" s="181"/>
      <c r="E335" s="170"/>
      <c r="F335" s="171"/>
      <c r="G335" s="182"/>
    </row>
    <row r="336" spans="2:7" x14ac:dyDescent="0.2">
      <c r="B336" s="157"/>
      <c r="C336" s="158"/>
      <c r="D336" s="156"/>
      <c r="E336" s="156"/>
      <c r="F336" s="159" t="s">
        <v>449</v>
      </c>
      <c r="G336" s="183">
        <v>1483.65</v>
      </c>
    </row>
    <row r="337" spans="2:7" x14ac:dyDescent="0.2">
      <c r="B337" s="161" t="s">
        <v>450</v>
      </c>
      <c r="C337" s="158"/>
      <c r="D337" s="156"/>
      <c r="E337" s="156"/>
      <c r="F337" s="159"/>
      <c r="G337" s="160"/>
    </row>
    <row r="338" spans="2:7" x14ac:dyDescent="0.2">
      <c r="B338" s="184" t="s">
        <v>451</v>
      </c>
      <c r="C338" s="185" t="s">
        <v>2</v>
      </c>
      <c r="D338" s="178">
        <v>10585.29</v>
      </c>
      <c r="E338" s="186"/>
      <c r="F338" s="187">
        <v>0.02</v>
      </c>
      <c r="G338" s="188">
        <v>211.7</v>
      </c>
    </row>
    <row r="339" spans="2:7" x14ac:dyDescent="0.2">
      <c r="B339" s="157"/>
      <c r="C339" s="158"/>
      <c r="D339" s="156"/>
      <c r="E339" s="156"/>
      <c r="F339" s="159" t="s">
        <v>452</v>
      </c>
      <c r="G339" s="183">
        <v>211.7</v>
      </c>
    </row>
    <row r="340" spans="2:7" x14ac:dyDescent="0.2">
      <c r="B340" s="161" t="s">
        <v>453</v>
      </c>
      <c r="C340" s="158"/>
      <c r="D340" s="156"/>
      <c r="E340" s="156"/>
      <c r="F340" s="159"/>
      <c r="G340" s="160"/>
    </row>
    <row r="341" spans="2:7" x14ac:dyDescent="0.2">
      <c r="B341" s="162" t="s">
        <v>454</v>
      </c>
      <c r="C341" s="190" t="s">
        <v>2</v>
      </c>
      <c r="D341" s="191">
        <v>4.0000000000000001E-3</v>
      </c>
      <c r="E341" s="192"/>
      <c r="F341" s="193">
        <v>121500</v>
      </c>
      <c r="G341" s="167">
        <v>532.89</v>
      </c>
    </row>
    <row r="342" spans="2:7" x14ac:dyDescent="0.2">
      <c r="B342" s="216" t="s">
        <v>455</v>
      </c>
      <c r="C342" s="196" t="s">
        <v>456</v>
      </c>
      <c r="D342" s="178">
        <v>10585.29</v>
      </c>
      <c r="E342" s="197"/>
      <c r="F342" s="198"/>
      <c r="G342" s="217" t="s">
        <v>465</v>
      </c>
    </row>
    <row r="343" spans="2:7" x14ac:dyDescent="0.2">
      <c r="B343" s="200" t="s">
        <v>458</v>
      </c>
      <c r="C343" s="201" t="s">
        <v>456</v>
      </c>
      <c r="D343" s="178">
        <v>10585.29</v>
      </c>
      <c r="E343" s="202"/>
      <c r="F343" s="203"/>
      <c r="G343" s="204" t="s">
        <v>457</v>
      </c>
    </row>
    <row r="344" spans="2:7" x14ac:dyDescent="0.2">
      <c r="B344" s="180"/>
      <c r="C344" s="169"/>
      <c r="D344" s="205"/>
      <c r="E344" s="170"/>
      <c r="F344" s="171"/>
      <c r="G344" s="182"/>
    </row>
    <row r="345" spans="2:7" x14ac:dyDescent="0.2">
      <c r="B345" s="157"/>
      <c r="C345" s="158"/>
      <c r="D345" s="156"/>
      <c r="E345" s="156"/>
      <c r="F345" s="159" t="s">
        <v>459</v>
      </c>
      <c r="G345" s="183">
        <v>532.89</v>
      </c>
    </row>
    <row r="346" spans="2:7" x14ac:dyDescent="0.2">
      <c r="B346" s="157"/>
      <c r="C346" s="158"/>
      <c r="D346" s="156"/>
      <c r="E346" s="156"/>
      <c r="F346" s="159"/>
      <c r="G346" s="160"/>
    </row>
    <row r="347" spans="2:7" ht="17" thickBot="1" x14ac:dyDescent="0.25">
      <c r="B347" s="206"/>
      <c r="C347" s="207"/>
      <c r="D347" s="208"/>
      <c r="E347" s="209" t="s">
        <v>460</v>
      </c>
      <c r="F347" s="210">
        <v>112602.82</v>
      </c>
      <c r="G347" s="211">
        <v>10797</v>
      </c>
    </row>
    <row r="348" spans="2:7" ht="17" thickTop="1" x14ac:dyDescent="0.2">
      <c r="B348" s="212"/>
      <c r="C348" s="213"/>
      <c r="D348" s="212"/>
      <c r="E348" s="212"/>
      <c r="F348" s="212"/>
      <c r="G348" s="212"/>
    </row>
    <row r="349" spans="2:7" x14ac:dyDescent="0.2">
      <c r="B349" s="212"/>
      <c r="C349" s="213"/>
      <c r="D349" s="212"/>
      <c r="E349" s="212"/>
      <c r="F349" s="212"/>
      <c r="G349" s="212"/>
    </row>
    <row r="350" spans="2:7" ht="17" thickBot="1" x14ac:dyDescent="0.25">
      <c r="B350" s="212"/>
      <c r="C350" s="213"/>
      <c r="D350" s="212"/>
      <c r="E350" s="212"/>
      <c r="F350" s="212"/>
      <c r="G350" s="212"/>
    </row>
    <row r="351" spans="2:7" ht="17" thickTop="1" x14ac:dyDescent="0.2">
      <c r="B351" s="537" t="s">
        <v>23</v>
      </c>
      <c r="C351" s="538"/>
      <c r="D351" s="538"/>
      <c r="E351" s="538"/>
      <c r="F351" s="148"/>
      <c r="G351" s="149" t="s">
        <v>439</v>
      </c>
    </row>
    <row r="352" spans="2:7" x14ac:dyDescent="0.2">
      <c r="B352" s="539"/>
      <c r="C352" s="540"/>
      <c r="D352" s="540"/>
      <c r="E352" s="540"/>
      <c r="F352" s="150"/>
      <c r="G352" s="151" t="s">
        <v>477</v>
      </c>
    </row>
    <row r="353" spans="2:7" x14ac:dyDescent="0.2">
      <c r="B353" s="152" t="s">
        <v>1</v>
      </c>
      <c r="C353" s="153" t="s">
        <v>2</v>
      </c>
      <c r="D353" s="153" t="s">
        <v>3</v>
      </c>
      <c r="E353" s="153" t="s">
        <v>441</v>
      </c>
      <c r="F353" s="154" t="s">
        <v>442</v>
      </c>
      <c r="G353" s="155" t="s">
        <v>443</v>
      </c>
    </row>
    <row r="354" spans="2:7" x14ac:dyDescent="0.2">
      <c r="B354" s="157"/>
      <c r="C354" s="158"/>
      <c r="D354" s="156"/>
      <c r="E354" s="156"/>
      <c r="F354" s="159"/>
      <c r="G354" s="160"/>
    </row>
    <row r="355" spans="2:7" x14ac:dyDescent="0.2">
      <c r="B355" s="161" t="s">
        <v>444</v>
      </c>
      <c r="C355" s="158"/>
      <c r="D355" s="156"/>
      <c r="E355" s="156"/>
      <c r="F355" s="159"/>
      <c r="G355" s="160"/>
    </row>
    <row r="356" spans="2:7" x14ac:dyDescent="0.2">
      <c r="B356" s="162" t="s">
        <v>470</v>
      </c>
      <c r="C356" s="163" t="s">
        <v>2</v>
      </c>
      <c r="D356" s="164">
        <v>0.06</v>
      </c>
      <c r="E356" s="165">
        <v>14.04</v>
      </c>
      <c r="F356" s="166">
        <v>127091.44</v>
      </c>
      <c r="G356" s="167">
        <v>8568.75</v>
      </c>
    </row>
    <row r="357" spans="2:7" x14ac:dyDescent="0.2">
      <c r="B357" s="184"/>
      <c r="C357" s="169"/>
      <c r="D357" s="170"/>
      <c r="E357" s="170"/>
      <c r="F357" s="171"/>
      <c r="G357" s="188"/>
    </row>
    <row r="358" spans="2:7" x14ac:dyDescent="0.2">
      <c r="B358" s="157"/>
      <c r="C358" s="158"/>
      <c r="D358" s="156"/>
      <c r="E358" s="156"/>
      <c r="F358" s="159" t="s">
        <v>446</v>
      </c>
      <c r="G358" s="183">
        <v>8568.75</v>
      </c>
    </row>
    <row r="359" spans="2:7" x14ac:dyDescent="0.2">
      <c r="B359" s="161" t="s">
        <v>447</v>
      </c>
      <c r="C359" s="158"/>
      <c r="D359" s="156"/>
      <c r="E359" s="156"/>
      <c r="F359" s="159"/>
      <c r="G359" s="160"/>
    </row>
    <row r="360" spans="2:7" x14ac:dyDescent="0.2">
      <c r="B360" s="174" t="s">
        <v>448</v>
      </c>
      <c r="C360" s="175" t="s">
        <v>2</v>
      </c>
      <c r="D360" s="176">
        <v>1.228</v>
      </c>
      <c r="E360" s="223"/>
      <c r="F360" s="214">
        <v>1208.1199999999999</v>
      </c>
      <c r="G360" s="179">
        <v>1483.65</v>
      </c>
    </row>
    <row r="361" spans="2:7" x14ac:dyDescent="0.2">
      <c r="B361" s="180"/>
      <c r="C361" s="169"/>
      <c r="D361" s="181"/>
      <c r="E361" s="170"/>
      <c r="F361" s="171"/>
      <c r="G361" s="182"/>
    </row>
    <row r="362" spans="2:7" x14ac:dyDescent="0.2">
      <c r="B362" s="157"/>
      <c r="C362" s="158"/>
      <c r="D362" s="156"/>
      <c r="E362" s="156"/>
      <c r="F362" s="159" t="s">
        <v>449</v>
      </c>
      <c r="G362" s="183">
        <v>1483.65</v>
      </c>
    </row>
    <row r="363" spans="2:7" x14ac:dyDescent="0.2">
      <c r="B363" s="161" t="s">
        <v>450</v>
      </c>
      <c r="C363" s="158"/>
      <c r="D363" s="156"/>
      <c r="E363" s="156"/>
      <c r="F363" s="159"/>
      <c r="G363" s="160"/>
    </row>
    <row r="364" spans="2:7" x14ac:dyDescent="0.2">
      <c r="B364" s="184" t="s">
        <v>451</v>
      </c>
      <c r="C364" s="185" t="s">
        <v>2</v>
      </c>
      <c r="D364" s="178">
        <v>10585.29</v>
      </c>
      <c r="E364" s="186"/>
      <c r="F364" s="187">
        <v>0.02</v>
      </c>
      <c r="G364" s="188">
        <v>211.7</v>
      </c>
    </row>
    <row r="365" spans="2:7" x14ac:dyDescent="0.2">
      <c r="B365" s="157"/>
      <c r="C365" s="158"/>
      <c r="D365" s="156"/>
      <c r="E365" s="156"/>
      <c r="F365" s="159" t="s">
        <v>452</v>
      </c>
      <c r="G365" s="183">
        <v>211.7</v>
      </c>
    </row>
    <row r="366" spans="2:7" x14ac:dyDescent="0.2">
      <c r="B366" s="161" t="s">
        <v>453</v>
      </c>
      <c r="C366" s="158"/>
      <c r="D366" s="156"/>
      <c r="E366" s="156"/>
      <c r="F366" s="159"/>
      <c r="G366" s="160"/>
    </row>
    <row r="367" spans="2:7" x14ac:dyDescent="0.2">
      <c r="B367" s="162" t="s">
        <v>454</v>
      </c>
      <c r="C367" s="190" t="s">
        <v>2</v>
      </c>
      <c r="D367" s="191">
        <v>4.0000000000000001E-3</v>
      </c>
      <c r="E367" s="192"/>
      <c r="F367" s="193">
        <v>121500</v>
      </c>
      <c r="G367" s="167">
        <v>532.89</v>
      </c>
    </row>
    <row r="368" spans="2:7" x14ac:dyDescent="0.2">
      <c r="B368" s="216" t="s">
        <v>455</v>
      </c>
      <c r="C368" s="196" t="s">
        <v>456</v>
      </c>
      <c r="D368" s="178">
        <v>10585.29</v>
      </c>
      <c r="E368" s="197"/>
      <c r="F368" s="198"/>
      <c r="G368" s="217" t="s">
        <v>465</v>
      </c>
    </row>
    <row r="369" spans="2:7" x14ac:dyDescent="0.2">
      <c r="B369" s="200" t="s">
        <v>458</v>
      </c>
      <c r="C369" s="201" t="s">
        <v>456</v>
      </c>
      <c r="D369" s="178">
        <v>10585.29</v>
      </c>
      <c r="E369" s="202"/>
      <c r="F369" s="203"/>
      <c r="G369" s="204" t="s">
        <v>457</v>
      </c>
    </row>
    <row r="370" spans="2:7" x14ac:dyDescent="0.2">
      <c r="B370" s="180"/>
      <c r="C370" s="169"/>
      <c r="D370" s="205"/>
      <c r="E370" s="170"/>
      <c r="F370" s="171"/>
      <c r="G370" s="182"/>
    </row>
    <row r="371" spans="2:7" x14ac:dyDescent="0.2">
      <c r="B371" s="157"/>
      <c r="C371" s="158"/>
      <c r="D371" s="156"/>
      <c r="E371" s="156"/>
      <c r="F371" s="159" t="s">
        <v>459</v>
      </c>
      <c r="G371" s="183">
        <v>532.89</v>
      </c>
    </row>
    <row r="372" spans="2:7" x14ac:dyDescent="0.2">
      <c r="B372" s="157"/>
      <c r="C372" s="158"/>
      <c r="D372" s="156"/>
      <c r="E372" s="156"/>
      <c r="F372" s="159"/>
      <c r="G372" s="160"/>
    </row>
    <row r="373" spans="2:7" ht="17" thickBot="1" x14ac:dyDescent="0.25">
      <c r="B373" s="206"/>
      <c r="C373" s="207"/>
      <c r="D373" s="208"/>
      <c r="E373" s="209" t="s">
        <v>460</v>
      </c>
      <c r="F373" s="210">
        <v>666518.19999999995</v>
      </c>
      <c r="G373" s="211">
        <v>10797</v>
      </c>
    </row>
    <row r="374" spans="2:7" ht="17" thickTop="1" x14ac:dyDescent="0.2">
      <c r="B374" s="212"/>
      <c r="C374" s="213"/>
      <c r="D374" s="212"/>
      <c r="E374" s="212"/>
      <c r="F374" s="212"/>
      <c r="G374" s="212"/>
    </row>
    <row r="375" spans="2:7" x14ac:dyDescent="0.2">
      <c r="B375" s="212"/>
      <c r="C375" s="213"/>
      <c r="D375" s="212"/>
      <c r="E375" s="212"/>
      <c r="F375" s="212"/>
      <c r="G375" s="212"/>
    </row>
    <row r="376" spans="2:7" ht="17" thickBot="1" x14ac:dyDescent="0.25">
      <c r="B376" s="212"/>
      <c r="C376" s="213"/>
      <c r="D376" s="212"/>
      <c r="E376" s="212"/>
      <c r="F376" s="212"/>
      <c r="G376" s="212"/>
    </row>
    <row r="377" spans="2:7" ht="17" thickTop="1" x14ac:dyDescent="0.2">
      <c r="B377" s="537" t="s">
        <v>19</v>
      </c>
      <c r="C377" s="538"/>
      <c r="D377" s="538"/>
      <c r="E377" s="538"/>
      <c r="F377" s="148"/>
      <c r="G377" s="149" t="s">
        <v>439</v>
      </c>
    </row>
    <row r="378" spans="2:7" x14ac:dyDescent="0.2">
      <c r="B378" s="539"/>
      <c r="C378" s="540"/>
      <c r="D378" s="540"/>
      <c r="E378" s="540"/>
      <c r="F378" s="150"/>
      <c r="G378" s="151" t="s">
        <v>478</v>
      </c>
    </row>
    <row r="379" spans="2:7" x14ac:dyDescent="0.2">
      <c r="B379" s="152" t="s">
        <v>1</v>
      </c>
      <c r="C379" s="153" t="s">
        <v>2</v>
      </c>
      <c r="D379" s="153" t="s">
        <v>3</v>
      </c>
      <c r="E379" s="153" t="s">
        <v>441</v>
      </c>
      <c r="F379" s="154" t="s">
        <v>442</v>
      </c>
      <c r="G379" s="155" t="s">
        <v>443</v>
      </c>
    </row>
    <row r="380" spans="2:7" x14ac:dyDescent="0.2">
      <c r="B380" s="157"/>
      <c r="C380" s="158"/>
      <c r="D380" s="156"/>
      <c r="E380" s="156"/>
      <c r="F380" s="159"/>
      <c r="G380" s="160"/>
    </row>
    <row r="381" spans="2:7" x14ac:dyDescent="0.2">
      <c r="B381" s="161" t="s">
        <v>444</v>
      </c>
      <c r="C381" s="158"/>
      <c r="D381" s="156"/>
      <c r="E381" s="156"/>
      <c r="F381" s="159"/>
      <c r="G381" s="160"/>
    </row>
    <row r="382" spans="2:7" x14ac:dyDescent="0.2">
      <c r="B382" s="162" t="s">
        <v>479</v>
      </c>
      <c r="C382" s="163" t="s">
        <v>8</v>
      </c>
      <c r="D382" s="164">
        <v>2</v>
      </c>
      <c r="E382" s="224">
        <v>14.04</v>
      </c>
      <c r="F382" s="166">
        <v>25261.25</v>
      </c>
      <c r="G382" s="167">
        <v>57613.37</v>
      </c>
    </row>
    <row r="383" spans="2:7" x14ac:dyDescent="0.2">
      <c r="B383" s="168"/>
      <c r="C383" s="225"/>
      <c r="D383" s="170"/>
      <c r="E383" s="226"/>
      <c r="F383" s="227"/>
      <c r="G383" s="172"/>
    </row>
    <row r="384" spans="2:7" x14ac:dyDescent="0.2">
      <c r="B384" s="157"/>
      <c r="C384" s="158"/>
      <c r="D384" s="156"/>
      <c r="E384" s="156"/>
      <c r="F384" s="159" t="s">
        <v>446</v>
      </c>
      <c r="G384" s="183">
        <v>57613.37</v>
      </c>
    </row>
    <row r="385" spans="2:7" x14ac:dyDescent="0.2">
      <c r="B385" s="161" t="s">
        <v>447</v>
      </c>
      <c r="C385" s="158"/>
      <c r="D385" s="156"/>
      <c r="E385" s="156"/>
      <c r="F385" s="159"/>
      <c r="G385" s="160"/>
    </row>
    <row r="386" spans="2:7" x14ac:dyDescent="0.2">
      <c r="B386" s="218" t="s">
        <v>448</v>
      </c>
      <c r="C386" s="219" t="s">
        <v>2</v>
      </c>
      <c r="D386" s="228">
        <v>6.32</v>
      </c>
      <c r="E386" s="229"/>
      <c r="F386" s="220">
        <v>1208.1199999999999</v>
      </c>
      <c r="G386" s="221">
        <v>7630.23</v>
      </c>
    </row>
    <row r="387" spans="2:7" x14ac:dyDescent="0.2">
      <c r="B387" s="180"/>
      <c r="C387" s="185"/>
      <c r="D387" s="181"/>
      <c r="E387" s="186"/>
      <c r="F387" s="222"/>
      <c r="G387" s="230"/>
    </row>
    <row r="388" spans="2:7" x14ac:dyDescent="0.2">
      <c r="B388" s="157"/>
      <c r="C388" s="158"/>
      <c r="D388" s="156"/>
      <c r="E388" s="156"/>
      <c r="F388" s="159" t="s">
        <v>449</v>
      </c>
      <c r="G388" s="183">
        <v>7630.23</v>
      </c>
    </row>
    <row r="389" spans="2:7" x14ac:dyDescent="0.2">
      <c r="B389" s="161" t="s">
        <v>450</v>
      </c>
      <c r="C389" s="158"/>
      <c r="D389" s="156"/>
      <c r="E389" s="156"/>
      <c r="F389" s="159"/>
      <c r="G389" s="160"/>
    </row>
    <row r="390" spans="2:7" x14ac:dyDescent="0.2">
      <c r="B390" s="184" t="s">
        <v>451</v>
      </c>
      <c r="C390" s="185" t="s">
        <v>2</v>
      </c>
      <c r="D390" s="178">
        <v>70359.38</v>
      </c>
      <c r="E390" s="186"/>
      <c r="F390" s="187">
        <v>0.02</v>
      </c>
      <c r="G390" s="188">
        <v>1407.18</v>
      </c>
    </row>
    <row r="391" spans="2:7" x14ac:dyDescent="0.2">
      <c r="B391" s="157"/>
      <c r="C391" s="158"/>
      <c r="D391" s="156"/>
      <c r="E391" s="156"/>
      <c r="F391" s="159" t="s">
        <v>452</v>
      </c>
      <c r="G391" s="183">
        <v>1407.18</v>
      </c>
    </row>
    <row r="392" spans="2:7" x14ac:dyDescent="0.2">
      <c r="B392" s="161" t="s">
        <v>453</v>
      </c>
      <c r="C392" s="158"/>
      <c r="D392" s="156"/>
      <c r="E392" s="156"/>
      <c r="F392" s="159"/>
      <c r="G392" s="160"/>
    </row>
    <row r="393" spans="2:7" x14ac:dyDescent="0.2">
      <c r="B393" s="189" t="s">
        <v>454</v>
      </c>
      <c r="C393" s="190" t="s">
        <v>2</v>
      </c>
      <c r="D393" s="231">
        <v>4.2000000000000003E-2</v>
      </c>
      <c r="E393" s="232"/>
      <c r="F393" s="193">
        <v>121500</v>
      </c>
      <c r="G393" s="194">
        <v>5115.78</v>
      </c>
    </row>
    <row r="394" spans="2:7" x14ac:dyDescent="0.2">
      <c r="B394" s="195" t="s">
        <v>455</v>
      </c>
      <c r="C394" s="233" t="s">
        <v>456</v>
      </c>
      <c r="D394" s="234">
        <v>70359.38</v>
      </c>
      <c r="E394" s="226"/>
      <c r="F394" s="235"/>
      <c r="G394" s="199" t="s">
        <v>457</v>
      </c>
    </row>
    <row r="395" spans="2:7" x14ac:dyDescent="0.2">
      <c r="B395" s="195" t="s">
        <v>458</v>
      </c>
      <c r="C395" s="233" t="s">
        <v>456</v>
      </c>
      <c r="D395" s="178">
        <v>70359.38</v>
      </c>
      <c r="E395" s="226"/>
      <c r="F395" s="235"/>
      <c r="G395" s="199" t="s">
        <v>457</v>
      </c>
    </row>
    <row r="396" spans="2:7" x14ac:dyDescent="0.2">
      <c r="B396" s="236"/>
      <c r="C396" s="185"/>
      <c r="D396" s="205"/>
      <c r="E396" s="186"/>
      <c r="F396" s="222"/>
      <c r="G396" s="237"/>
    </row>
    <row r="397" spans="2:7" x14ac:dyDescent="0.2">
      <c r="B397" s="157"/>
      <c r="C397" s="158"/>
      <c r="D397" s="156"/>
      <c r="E397" s="156"/>
      <c r="F397" s="159" t="s">
        <v>459</v>
      </c>
      <c r="G397" s="183">
        <v>5115.78</v>
      </c>
    </row>
    <row r="398" spans="2:7" x14ac:dyDescent="0.2">
      <c r="B398" s="157"/>
      <c r="C398" s="158"/>
      <c r="D398" s="156"/>
      <c r="E398" s="156"/>
      <c r="F398" s="159"/>
      <c r="G398" s="160"/>
    </row>
    <row r="399" spans="2:7" ht="17" thickBot="1" x14ac:dyDescent="0.25">
      <c r="B399" s="206"/>
      <c r="C399" s="207"/>
      <c r="D399" s="208"/>
      <c r="E399" s="209" t="s">
        <v>460</v>
      </c>
      <c r="F399" s="210">
        <v>16742.740000000002</v>
      </c>
      <c r="G399" s="211">
        <v>71767</v>
      </c>
    </row>
    <row r="400" spans="2:7" ht="17" thickTop="1" x14ac:dyDescent="0.2">
      <c r="B400" s="212"/>
      <c r="C400" s="213"/>
      <c r="D400" s="212"/>
      <c r="E400" s="212"/>
      <c r="F400" s="212"/>
      <c r="G400" s="212"/>
    </row>
    <row r="401" spans="2:7" ht="17" thickBot="1" x14ac:dyDescent="0.25">
      <c r="B401" s="212"/>
      <c r="C401" s="213"/>
      <c r="D401" s="212"/>
      <c r="E401" s="212"/>
      <c r="F401" s="212"/>
      <c r="G401" s="212"/>
    </row>
    <row r="402" spans="2:7" ht="17" thickTop="1" x14ac:dyDescent="0.2">
      <c r="B402" s="537" t="s">
        <v>20</v>
      </c>
      <c r="C402" s="538"/>
      <c r="D402" s="538"/>
      <c r="E402" s="538"/>
      <c r="F402" s="148"/>
      <c r="G402" s="149" t="s">
        <v>439</v>
      </c>
    </row>
    <row r="403" spans="2:7" x14ac:dyDescent="0.2">
      <c r="B403" s="539"/>
      <c r="C403" s="540"/>
      <c r="D403" s="540"/>
      <c r="E403" s="540"/>
      <c r="F403" s="150"/>
      <c r="G403" s="151" t="s">
        <v>480</v>
      </c>
    </row>
    <row r="404" spans="2:7" x14ac:dyDescent="0.2">
      <c r="B404" s="152" t="s">
        <v>1</v>
      </c>
      <c r="C404" s="153" t="s">
        <v>2</v>
      </c>
      <c r="D404" s="153" t="s">
        <v>3</v>
      </c>
      <c r="E404" s="153" t="s">
        <v>441</v>
      </c>
      <c r="F404" s="154" t="s">
        <v>442</v>
      </c>
      <c r="G404" s="155" t="s">
        <v>443</v>
      </c>
    </row>
    <row r="405" spans="2:7" x14ac:dyDescent="0.2">
      <c r="B405" s="157"/>
      <c r="C405" s="158"/>
      <c r="D405" s="156"/>
      <c r="E405" s="156"/>
      <c r="F405" s="159"/>
      <c r="G405" s="160"/>
    </row>
    <row r="406" spans="2:7" x14ac:dyDescent="0.2">
      <c r="B406" s="161" t="s">
        <v>444</v>
      </c>
      <c r="C406" s="158"/>
      <c r="D406" s="156"/>
      <c r="E406" s="156"/>
      <c r="F406" s="159"/>
      <c r="G406" s="160"/>
    </row>
    <row r="407" spans="2:7" x14ac:dyDescent="0.2">
      <c r="B407" s="162" t="s">
        <v>479</v>
      </c>
      <c r="C407" s="163" t="s">
        <v>8</v>
      </c>
      <c r="D407" s="164">
        <v>1</v>
      </c>
      <c r="E407" s="224">
        <v>14.04</v>
      </c>
      <c r="F407" s="166">
        <v>25261.25</v>
      </c>
      <c r="G407" s="167">
        <v>28806.68</v>
      </c>
    </row>
    <row r="408" spans="2:7" x14ac:dyDescent="0.2">
      <c r="B408" s="200"/>
      <c r="C408" s="169"/>
      <c r="D408" s="170"/>
      <c r="E408" s="170"/>
      <c r="F408" s="171"/>
      <c r="G408" s="204"/>
    </row>
    <row r="409" spans="2:7" x14ac:dyDescent="0.2">
      <c r="B409" s="157"/>
      <c r="C409" s="158"/>
      <c r="D409" s="156"/>
      <c r="E409" s="156"/>
      <c r="F409" s="159" t="s">
        <v>446</v>
      </c>
      <c r="G409" s="183">
        <v>28806.68</v>
      </c>
    </row>
    <row r="410" spans="2:7" x14ac:dyDescent="0.2">
      <c r="B410" s="161" t="s">
        <v>447</v>
      </c>
      <c r="C410" s="158"/>
      <c r="D410" s="156"/>
      <c r="E410" s="156"/>
      <c r="F410" s="159"/>
      <c r="G410" s="160"/>
    </row>
    <row r="411" spans="2:7" x14ac:dyDescent="0.2">
      <c r="B411" s="218" t="s">
        <v>448</v>
      </c>
      <c r="C411" s="219" t="s">
        <v>2</v>
      </c>
      <c r="D411" s="228">
        <v>4.21</v>
      </c>
      <c r="E411" s="229"/>
      <c r="F411" s="220">
        <v>1208.1199999999999</v>
      </c>
      <c r="G411" s="221">
        <v>5086.82</v>
      </c>
    </row>
    <row r="412" spans="2:7" x14ac:dyDescent="0.2">
      <c r="B412" s="180"/>
      <c r="C412" s="185"/>
      <c r="D412" s="181"/>
      <c r="E412" s="186"/>
      <c r="F412" s="222"/>
      <c r="G412" s="230"/>
    </row>
    <row r="413" spans="2:7" x14ac:dyDescent="0.2">
      <c r="B413" s="157"/>
      <c r="C413" s="158"/>
      <c r="D413" s="156"/>
      <c r="E413" s="156"/>
      <c r="F413" s="159" t="s">
        <v>449</v>
      </c>
      <c r="G413" s="183">
        <v>5086.82</v>
      </c>
    </row>
    <row r="414" spans="2:7" x14ac:dyDescent="0.2">
      <c r="B414" s="161" t="s">
        <v>450</v>
      </c>
      <c r="C414" s="158"/>
      <c r="D414" s="156"/>
      <c r="E414" s="156"/>
      <c r="F414" s="159"/>
      <c r="G414" s="160"/>
    </row>
    <row r="415" spans="2:7" x14ac:dyDescent="0.2">
      <c r="B415" s="184" t="s">
        <v>451</v>
      </c>
      <c r="C415" s="185" t="s">
        <v>2</v>
      </c>
      <c r="D415" s="178">
        <v>34746.129999999997</v>
      </c>
      <c r="E415" s="186"/>
      <c r="F415" s="187">
        <v>0.02</v>
      </c>
      <c r="G415" s="188">
        <v>694.92</v>
      </c>
    </row>
    <row r="416" spans="2:7" x14ac:dyDescent="0.2">
      <c r="B416" s="157"/>
      <c r="C416" s="158"/>
      <c r="D416" s="156"/>
      <c r="E416" s="156"/>
      <c r="F416" s="159" t="s">
        <v>452</v>
      </c>
      <c r="G416" s="183">
        <v>694.92</v>
      </c>
    </row>
    <row r="417" spans="2:7" x14ac:dyDescent="0.2">
      <c r="B417" s="161" t="s">
        <v>453</v>
      </c>
      <c r="C417" s="158"/>
      <c r="D417" s="156"/>
      <c r="E417" s="156"/>
      <c r="F417" s="159"/>
      <c r="G417" s="160"/>
    </row>
    <row r="418" spans="2:7" x14ac:dyDescent="0.2">
      <c r="B418" s="189" t="s">
        <v>454</v>
      </c>
      <c r="C418" s="190" t="s">
        <v>2</v>
      </c>
      <c r="D418" s="231">
        <v>7.0000000000000001E-3</v>
      </c>
      <c r="E418" s="232"/>
      <c r="F418" s="193">
        <v>121500</v>
      </c>
      <c r="G418" s="194">
        <v>852.63</v>
      </c>
    </row>
    <row r="419" spans="2:7" x14ac:dyDescent="0.2">
      <c r="B419" s="195" t="s">
        <v>455</v>
      </c>
      <c r="C419" s="233" t="s">
        <v>456</v>
      </c>
      <c r="D419" s="234">
        <v>34746.129999999997</v>
      </c>
      <c r="E419" s="226"/>
      <c r="F419" s="235"/>
      <c r="G419" s="199" t="s">
        <v>457</v>
      </c>
    </row>
    <row r="420" spans="2:7" x14ac:dyDescent="0.2">
      <c r="B420" s="195" t="s">
        <v>458</v>
      </c>
      <c r="C420" s="233" t="s">
        <v>456</v>
      </c>
      <c r="D420" s="178">
        <v>34746.129999999997</v>
      </c>
      <c r="E420" s="226"/>
      <c r="F420" s="235"/>
      <c r="G420" s="199" t="s">
        <v>457</v>
      </c>
    </row>
    <row r="421" spans="2:7" x14ac:dyDescent="0.2">
      <c r="B421" s="157"/>
      <c r="C421" s="158"/>
      <c r="D421" s="156"/>
      <c r="E421" s="156"/>
      <c r="F421" s="159" t="s">
        <v>459</v>
      </c>
      <c r="G421" s="173">
        <v>852.63</v>
      </c>
    </row>
    <row r="422" spans="2:7" x14ac:dyDescent="0.2">
      <c r="B422" s="157"/>
      <c r="C422" s="158"/>
      <c r="D422" s="156"/>
      <c r="E422" s="156"/>
      <c r="F422" s="159"/>
      <c r="G422" s="160"/>
    </row>
    <row r="423" spans="2:7" ht="17" thickBot="1" x14ac:dyDescent="0.25">
      <c r="B423" s="206"/>
      <c r="C423" s="207"/>
      <c r="D423" s="208"/>
      <c r="E423" s="209" t="s">
        <v>460</v>
      </c>
      <c r="F423" s="210" t="s">
        <v>461</v>
      </c>
      <c r="G423" s="211">
        <v>35441</v>
      </c>
    </row>
    <row r="424" spans="2:7" ht="17" thickTop="1" x14ac:dyDescent="0.2">
      <c r="B424" s="212"/>
      <c r="C424" s="213"/>
      <c r="D424" s="212"/>
      <c r="E424" s="212"/>
      <c r="F424" s="212"/>
      <c r="G424" s="212"/>
    </row>
    <row r="425" spans="2:7" ht="17" thickBot="1" x14ac:dyDescent="0.25">
      <c r="B425" s="212"/>
      <c r="C425" s="213"/>
      <c r="D425" s="212"/>
      <c r="E425" s="212"/>
      <c r="F425" s="212"/>
      <c r="G425" s="212"/>
    </row>
    <row r="426" spans="2:7" ht="17" thickTop="1" x14ac:dyDescent="0.2">
      <c r="B426" s="537" t="s">
        <v>21</v>
      </c>
      <c r="C426" s="538"/>
      <c r="D426" s="538"/>
      <c r="E426" s="538"/>
      <c r="F426" s="148"/>
      <c r="G426" s="149" t="s">
        <v>439</v>
      </c>
    </row>
    <row r="427" spans="2:7" x14ac:dyDescent="0.2">
      <c r="B427" s="539"/>
      <c r="C427" s="540"/>
      <c r="D427" s="540"/>
      <c r="E427" s="540"/>
      <c r="F427" s="150"/>
      <c r="G427" s="151" t="s">
        <v>481</v>
      </c>
    </row>
    <row r="428" spans="2:7" x14ac:dyDescent="0.2">
      <c r="B428" s="152" t="s">
        <v>1</v>
      </c>
      <c r="C428" s="153" t="s">
        <v>2</v>
      </c>
      <c r="D428" s="153" t="s">
        <v>3</v>
      </c>
      <c r="E428" s="153" t="s">
        <v>441</v>
      </c>
      <c r="F428" s="154" t="s">
        <v>442</v>
      </c>
      <c r="G428" s="155" t="s">
        <v>443</v>
      </c>
    </row>
    <row r="429" spans="2:7" x14ac:dyDescent="0.2">
      <c r="B429" s="157"/>
      <c r="C429" s="158"/>
      <c r="D429" s="156"/>
      <c r="E429" s="156"/>
      <c r="F429" s="159"/>
      <c r="G429" s="160"/>
    </row>
    <row r="430" spans="2:7" x14ac:dyDescent="0.2">
      <c r="B430" s="161" t="s">
        <v>444</v>
      </c>
      <c r="C430" s="158"/>
      <c r="D430" s="156"/>
      <c r="E430" s="156"/>
      <c r="F430" s="159"/>
      <c r="G430" s="160"/>
    </row>
    <row r="431" spans="2:7" x14ac:dyDescent="0.2">
      <c r="B431" s="162" t="s">
        <v>479</v>
      </c>
      <c r="C431" s="163" t="s">
        <v>8</v>
      </c>
      <c r="D431" s="164">
        <v>0.69</v>
      </c>
      <c r="E431" s="224">
        <v>14.04</v>
      </c>
      <c r="F431" s="166">
        <v>25261.25</v>
      </c>
      <c r="G431" s="167">
        <v>19834.11</v>
      </c>
    </row>
    <row r="432" spans="2:7" x14ac:dyDescent="0.2">
      <c r="B432" s="184"/>
      <c r="C432" s="185"/>
      <c r="D432" s="170"/>
      <c r="E432" s="170"/>
      <c r="F432" s="222"/>
      <c r="G432" s="188"/>
    </row>
    <row r="433" spans="2:7" x14ac:dyDescent="0.2">
      <c r="B433" s="157"/>
      <c r="C433" s="158"/>
      <c r="D433" s="156"/>
      <c r="E433" s="156"/>
      <c r="F433" s="159" t="s">
        <v>446</v>
      </c>
      <c r="G433" s="183">
        <v>19834.11</v>
      </c>
    </row>
    <row r="434" spans="2:7" x14ac:dyDescent="0.2">
      <c r="B434" s="161" t="s">
        <v>447</v>
      </c>
      <c r="C434" s="158"/>
      <c r="D434" s="156"/>
      <c r="E434" s="156"/>
      <c r="F434" s="159"/>
      <c r="G434" s="160"/>
    </row>
    <row r="435" spans="2:7" x14ac:dyDescent="0.2">
      <c r="B435" s="218" t="s">
        <v>448</v>
      </c>
      <c r="C435" s="219" t="s">
        <v>2</v>
      </c>
      <c r="D435" s="228">
        <v>1.75</v>
      </c>
      <c r="E435" s="229"/>
      <c r="F435" s="220">
        <v>1208.1199999999999</v>
      </c>
      <c r="G435" s="221">
        <v>2119.5</v>
      </c>
    </row>
    <row r="436" spans="2:7" x14ac:dyDescent="0.2">
      <c r="B436" s="180"/>
      <c r="C436" s="185"/>
      <c r="D436" s="181"/>
      <c r="E436" s="186"/>
      <c r="F436" s="222"/>
      <c r="G436" s="230"/>
    </row>
    <row r="437" spans="2:7" x14ac:dyDescent="0.2">
      <c r="B437" s="157"/>
      <c r="C437" s="158"/>
      <c r="D437" s="156"/>
      <c r="E437" s="156"/>
      <c r="F437" s="159" t="s">
        <v>449</v>
      </c>
      <c r="G437" s="183">
        <v>2119.5</v>
      </c>
    </row>
    <row r="438" spans="2:7" x14ac:dyDescent="0.2">
      <c r="B438" s="161" t="s">
        <v>450</v>
      </c>
      <c r="C438" s="158"/>
      <c r="D438" s="156"/>
      <c r="E438" s="156"/>
      <c r="F438" s="159"/>
      <c r="G438" s="160"/>
    </row>
    <row r="439" spans="2:7" x14ac:dyDescent="0.2">
      <c r="B439" s="184" t="s">
        <v>451</v>
      </c>
      <c r="C439" s="185" t="s">
        <v>2</v>
      </c>
      <c r="D439" s="178">
        <v>22664.13</v>
      </c>
      <c r="E439" s="186"/>
      <c r="F439" s="187">
        <v>0.02</v>
      </c>
      <c r="G439" s="188">
        <v>453.28</v>
      </c>
    </row>
    <row r="440" spans="2:7" x14ac:dyDescent="0.2">
      <c r="B440" s="157"/>
      <c r="C440" s="158"/>
      <c r="D440" s="156"/>
      <c r="E440" s="156"/>
      <c r="F440" s="159" t="s">
        <v>452</v>
      </c>
      <c r="G440" s="183">
        <v>453.28</v>
      </c>
    </row>
    <row r="441" spans="2:7" x14ac:dyDescent="0.2">
      <c r="B441" s="161" t="s">
        <v>453</v>
      </c>
      <c r="C441" s="158"/>
      <c r="D441" s="156"/>
      <c r="E441" s="156"/>
      <c r="F441" s="159"/>
      <c r="G441" s="160"/>
    </row>
    <row r="442" spans="2:7" x14ac:dyDescent="0.2">
      <c r="B442" s="189" t="s">
        <v>454</v>
      </c>
      <c r="C442" s="190" t="s">
        <v>2</v>
      </c>
      <c r="D442" s="231">
        <v>6.0000000000000001E-3</v>
      </c>
      <c r="E442" s="232"/>
      <c r="F442" s="193">
        <v>121500</v>
      </c>
      <c r="G442" s="194">
        <v>710.52</v>
      </c>
    </row>
    <row r="443" spans="2:7" x14ac:dyDescent="0.2">
      <c r="B443" s="195" t="s">
        <v>455</v>
      </c>
      <c r="C443" s="233" t="s">
        <v>456</v>
      </c>
      <c r="D443" s="234">
        <v>22664.13</v>
      </c>
      <c r="E443" s="226"/>
      <c r="F443" s="235"/>
      <c r="G443" s="199" t="s">
        <v>457</v>
      </c>
    </row>
    <row r="444" spans="2:7" x14ac:dyDescent="0.2">
      <c r="B444" s="200" t="s">
        <v>458</v>
      </c>
      <c r="C444" s="169" t="s">
        <v>456</v>
      </c>
      <c r="D444" s="178">
        <v>22664.13</v>
      </c>
      <c r="E444" s="170"/>
      <c r="F444" s="235"/>
      <c r="G444" s="204" t="s">
        <v>457</v>
      </c>
    </row>
    <row r="445" spans="2:7" x14ac:dyDescent="0.2">
      <c r="B445" s="180"/>
      <c r="C445" s="169"/>
      <c r="D445" s="205"/>
      <c r="E445" s="170"/>
      <c r="F445" s="222"/>
      <c r="G445" s="230"/>
    </row>
    <row r="446" spans="2:7" x14ac:dyDescent="0.2">
      <c r="B446" s="157"/>
      <c r="C446" s="158"/>
      <c r="D446" s="156"/>
      <c r="E446" s="156"/>
      <c r="F446" s="159" t="s">
        <v>459</v>
      </c>
      <c r="G446" s="183">
        <v>710.52</v>
      </c>
    </row>
    <row r="447" spans="2:7" x14ac:dyDescent="0.2">
      <c r="B447" s="157"/>
      <c r="C447" s="158"/>
      <c r="D447" s="156"/>
      <c r="E447" s="156"/>
      <c r="F447" s="159"/>
      <c r="G447" s="160"/>
    </row>
    <row r="448" spans="2:7" ht="17" thickBot="1" x14ac:dyDescent="0.25">
      <c r="B448" s="206"/>
      <c r="C448" s="207"/>
      <c r="D448" s="208"/>
      <c r="E448" s="209" t="s">
        <v>460</v>
      </c>
      <c r="F448" s="210">
        <v>13179</v>
      </c>
      <c r="G448" s="211">
        <v>23117</v>
      </c>
    </row>
    <row r="449" spans="2:7" ht="17" thickTop="1" x14ac:dyDescent="0.2">
      <c r="B449" s="212"/>
      <c r="C449" s="213"/>
      <c r="D449" s="212"/>
      <c r="E449" s="212"/>
      <c r="F449" s="212"/>
      <c r="G449" s="212"/>
    </row>
    <row r="450" spans="2:7" ht="17" thickBot="1" x14ac:dyDescent="0.25">
      <c r="B450" s="212"/>
      <c r="C450" s="213"/>
      <c r="D450" s="212"/>
      <c r="E450" s="212"/>
      <c r="F450" s="212"/>
      <c r="G450" s="212"/>
    </row>
    <row r="451" spans="2:7" ht="17" thickTop="1" x14ac:dyDescent="0.2">
      <c r="B451" s="537" t="s">
        <v>22</v>
      </c>
      <c r="C451" s="538"/>
      <c r="D451" s="538"/>
      <c r="E451" s="538"/>
      <c r="F451" s="148"/>
      <c r="G451" s="149" t="s">
        <v>439</v>
      </c>
    </row>
    <row r="452" spans="2:7" x14ac:dyDescent="0.2">
      <c r="B452" s="539"/>
      <c r="C452" s="540"/>
      <c r="D452" s="540"/>
      <c r="E452" s="540"/>
      <c r="F452" s="150"/>
      <c r="G452" s="151" t="s">
        <v>482</v>
      </c>
    </row>
    <row r="453" spans="2:7" x14ac:dyDescent="0.2">
      <c r="B453" s="152" t="s">
        <v>1</v>
      </c>
      <c r="C453" s="153" t="s">
        <v>2</v>
      </c>
      <c r="D453" s="153" t="s">
        <v>3</v>
      </c>
      <c r="E453" s="153" t="s">
        <v>441</v>
      </c>
      <c r="F453" s="154" t="s">
        <v>442</v>
      </c>
      <c r="G453" s="155" t="s">
        <v>443</v>
      </c>
    </row>
    <row r="454" spans="2:7" x14ac:dyDescent="0.2">
      <c r="B454" s="157"/>
      <c r="C454" s="158"/>
      <c r="D454" s="156"/>
      <c r="E454" s="156"/>
      <c r="F454" s="159"/>
      <c r="G454" s="160"/>
    </row>
    <row r="455" spans="2:7" x14ac:dyDescent="0.2">
      <c r="B455" s="161" t="s">
        <v>444</v>
      </c>
      <c r="C455" s="158"/>
      <c r="D455" s="156"/>
      <c r="E455" s="156"/>
      <c r="F455" s="159"/>
      <c r="G455" s="160"/>
    </row>
    <row r="456" spans="2:7" x14ac:dyDescent="0.2">
      <c r="B456" s="162" t="s">
        <v>479</v>
      </c>
      <c r="C456" s="163" t="s">
        <v>8</v>
      </c>
      <c r="D456" s="164">
        <v>0.52</v>
      </c>
      <c r="E456" s="224">
        <v>14.04</v>
      </c>
      <c r="F456" s="166">
        <v>25261.25</v>
      </c>
      <c r="G456" s="167">
        <v>15111.7</v>
      </c>
    </row>
    <row r="457" spans="2:7" x14ac:dyDescent="0.2">
      <c r="B457" s="184"/>
      <c r="C457" s="185"/>
      <c r="D457" s="170"/>
      <c r="E457" s="170"/>
      <c r="F457" s="222"/>
      <c r="G457" s="188"/>
    </row>
    <row r="458" spans="2:7" x14ac:dyDescent="0.2">
      <c r="B458" s="157"/>
      <c r="C458" s="158"/>
      <c r="D458" s="156"/>
      <c r="E458" s="156"/>
      <c r="F458" s="159" t="s">
        <v>446</v>
      </c>
      <c r="G458" s="183">
        <v>15111.7</v>
      </c>
    </row>
    <row r="459" spans="2:7" x14ac:dyDescent="0.2">
      <c r="B459" s="161" t="s">
        <v>447</v>
      </c>
      <c r="C459" s="158"/>
      <c r="D459" s="156"/>
      <c r="E459" s="156"/>
      <c r="F459" s="159"/>
      <c r="G459" s="160"/>
    </row>
    <row r="460" spans="2:7" x14ac:dyDescent="0.2">
      <c r="B460" s="218" t="s">
        <v>448</v>
      </c>
      <c r="C460" s="219" t="s">
        <v>2</v>
      </c>
      <c r="D460" s="228">
        <v>1.75</v>
      </c>
      <c r="E460" s="229"/>
      <c r="F460" s="220">
        <v>1208.1199999999999</v>
      </c>
      <c r="G460" s="221">
        <v>2119.5</v>
      </c>
    </row>
    <row r="461" spans="2:7" x14ac:dyDescent="0.2">
      <c r="B461" s="180"/>
      <c r="C461" s="185"/>
      <c r="D461" s="181"/>
      <c r="E461" s="186"/>
      <c r="F461" s="222"/>
      <c r="G461" s="230"/>
    </row>
    <row r="462" spans="2:7" x14ac:dyDescent="0.2">
      <c r="B462" s="157"/>
      <c r="C462" s="158"/>
      <c r="D462" s="156"/>
      <c r="E462" s="156"/>
      <c r="F462" s="159" t="s">
        <v>449</v>
      </c>
      <c r="G462" s="183">
        <v>2119.5</v>
      </c>
    </row>
    <row r="463" spans="2:7" x14ac:dyDescent="0.2">
      <c r="B463" s="161" t="s">
        <v>450</v>
      </c>
      <c r="C463" s="158"/>
      <c r="D463" s="156"/>
      <c r="E463" s="156"/>
      <c r="F463" s="159"/>
      <c r="G463" s="160"/>
    </row>
    <row r="464" spans="2:7" x14ac:dyDescent="0.2">
      <c r="B464" s="184" t="s">
        <v>451</v>
      </c>
      <c r="C464" s="185" t="s">
        <v>2</v>
      </c>
      <c r="D464" s="178">
        <v>17840.22</v>
      </c>
      <c r="E464" s="186"/>
      <c r="F464" s="187">
        <v>0.02</v>
      </c>
      <c r="G464" s="188">
        <v>356.8</v>
      </c>
    </row>
    <row r="465" spans="2:7" x14ac:dyDescent="0.2">
      <c r="B465" s="157"/>
      <c r="C465" s="158"/>
      <c r="D465" s="156"/>
      <c r="E465" s="156"/>
      <c r="F465" s="159" t="s">
        <v>452</v>
      </c>
      <c r="G465" s="183">
        <v>356.8</v>
      </c>
    </row>
    <row r="466" spans="2:7" x14ac:dyDescent="0.2">
      <c r="B466" s="161" t="s">
        <v>453</v>
      </c>
      <c r="C466" s="158"/>
      <c r="D466" s="156"/>
      <c r="E466" s="156"/>
      <c r="F466" s="159"/>
      <c r="G466" s="160"/>
    </row>
    <row r="467" spans="2:7" x14ac:dyDescent="0.2">
      <c r="B467" s="189" t="s">
        <v>454</v>
      </c>
      <c r="C467" s="190" t="s">
        <v>2</v>
      </c>
      <c r="D467" s="231">
        <v>5.0000000000000001E-3</v>
      </c>
      <c r="E467" s="232"/>
      <c r="F467" s="193">
        <v>121500</v>
      </c>
      <c r="G467" s="194">
        <v>609.02</v>
      </c>
    </row>
    <row r="468" spans="2:7" x14ac:dyDescent="0.2">
      <c r="B468" s="195" t="s">
        <v>455</v>
      </c>
      <c r="C468" s="233" t="s">
        <v>456</v>
      </c>
      <c r="D468" s="234">
        <v>17840.22</v>
      </c>
      <c r="E468" s="226"/>
      <c r="F468" s="235"/>
      <c r="G468" s="199" t="s">
        <v>457</v>
      </c>
    </row>
    <row r="469" spans="2:7" x14ac:dyDescent="0.2">
      <c r="B469" s="195" t="s">
        <v>458</v>
      </c>
      <c r="C469" s="233" t="s">
        <v>456</v>
      </c>
      <c r="D469" s="178">
        <v>17840.22</v>
      </c>
      <c r="E469" s="226"/>
      <c r="F469" s="235"/>
      <c r="G469" s="199" t="s">
        <v>457</v>
      </c>
    </row>
    <row r="470" spans="2:7" x14ac:dyDescent="0.2">
      <c r="B470" s="157"/>
      <c r="C470" s="158"/>
      <c r="D470" s="156"/>
      <c r="E470" s="156"/>
      <c r="F470" s="159" t="s">
        <v>459</v>
      </c>
      <c r="G470" s="173">
        <v>609.02</v>
      </c>
    </row>
    <row r="471" spans="2:7" x14ac:dyDescent="0.2">
      <c r="B471" s="157"/>
      <c r="C471" s="158"/>
      <c r="D471" s="156"/>
      <c r="E471" s="156"/>
      <c r="F471" s="159"/>
      <c r="G471" s="160"/>
    </row>
    <row r="472" spans="2:7" ht="17" thickBot="1" x14ac:dyDescent="0.25">
      <c r="B472" s="206"/>
      <c r="C472" s="207"/>
      <c r="D472" s="208"/>
      <c r="E472" s="209" t="s">
        <v>460</v>
      </c>
      <c r="F472" s="210">
        <v>9164.4599999999991</v>
      </c>
      <c r="G472" s="211">
        <v>18197</v>
      </c>
    </row>
    <row r="473" spans="2:7" ht="17" thickTop="1" x14ac:dyDescent="0.2">
      <c r="B473" s="212"/>
      <c r="C473" s="213"/>
      <c r="D473" s="212"/>
      <c r="E473" s="212"/>
      <c r="F473" s="212"/>
      <c r="G473" s="212"/>
    </row>
    <row r="474" spans="2:7" ht="17" thickBot="1" x14ac:dyDescent="0.25">
      <c r="B474" s="212"/>
      <c r="C474" s="213"/>
      <c r="D474" s="212"/>
      <c r="E474" s="212"/>
      <c r="F474" s="212"/>
      <c r="G474" s="212"/>
    </row>
    <row r="475" spans="2:7" ht="17" thickTop="1" x14ac:dyDescent="0.2">
      <c r="B475" s="537" t="s">
        <v>23</v>
      </c>
      <c r="C475" s="538"/>
      <c r="D475" s="538"/>
      <c r="E475" s="538"/>
      <c r="F475" s="148"/>
      <c r="G475" s="149" t="s">
        <v>439</v>
      </c>
    </row>
    <row r="476" spans="2:7" x14ac:dyDescent="0.2">
      <c r="B476" s="539"/>
      <c r="C476" s="540"/>
      <c r="D476" s="540"/>
      <c r="E476" s="540"/>
      <c r="F476" s="150"/>
      <c r="G476" s="151" t="s">
        <v>483</v>
      </c>
    </row>
    <row r="477" spans="2:7" x14ac:dyDescent="0.2">
      <c r="B477" s="152" t="s">
        <v>1</v>
      </c>
      <c r="C477" s="153" t="s">
        <v>2</v>
      </c>
      <c r="D477" s="153" t="s">
        <v>3</v>
      </c>
      <c r="E477" s="153" t="s">
        <v>441</v>
      </c>
      <c r="F477" s="154" t="s">
        <v>442</v>
      </c>
      <c r="G477" s="155" t="s">
        <v>443</v>
      </c>
    </row>
    <row r="478" spans="2:7" x14ac:dyDescent="0.2">
      <c r="B478" s="157"/>
      <c r="C478" s="158"/>
      <c r="D478" s="156"/>
      <c r="E478" s="156"/>
      <c r="F478" s="159"/>
      <c r="G478" s="160"/>
    </row>
    <row r="479" spans="2:7" x14ac:dyDescent="0.2">
      <c r="B479" s="161" t="s">
        <v>444</v>
      </c>
      <c r="C479" s="158"/>
      <c r="D479" s="156"/>
      <c r="E479" s="156"/>
      <c r="F479" s="159"/>
      <c r="G479" s="160"/>
    </row>
    <row r="480" spans="2:7" x14ac:dyDescent="0.2">
      <c r="B480" s="162" t="s">
        <v>479</v>
      </c>
      <c r="C480" s="163" t="s">
        <v>8</v>
      </c>
      <c r="D480" s="164">
        <v>0.36</v>
      </c>
      <c r="E480" s="224">
        <v>14.04</v>
      </c>
      <c r="F480" s="166">
        <v>25261.25</v>
      </c>
      <c r="G480" s="167">
        <v>10389.290000000001</v>
      </c>
    </row>
    <row r="481" spans="2:7" x14ac:dyDescent="0.2">
      <c r="B481" s="184"/>
      <c r="C481" s="185"/>
      <c r="D481" s="170"/>
      <c r="E481" s="170"/>
      <c r="F481" s="222"/>
      <c r="G481" s="188"/>
    </row>
    <row r="482" spans="2:7" x14ac:dyDescent="0.2">
      <c r="B482" s="157"/>
      <c r="C482" s="158"/>
      <c r="D482" s="156"/>
      <c r="E482" s="156"/>
      <c r="F482" s="159" t="s">
        <v>446</v>
      </c>
      <c r="G482" s="183">
        <v>10389.290000000001</v>
      </c>
    </row>
    <row r="483" spans="2:7" x14ac:dyDescent="0.2">
      <c r="B483" s="161" t="s">
        <v>447</v>
      </c>
      <c r="C483" s="158"/>
      <c r="D483" s="156"/>
      <c r="E483" s="156"/>
      <c r="F483" s="159"/>
      <c r="G483" s="160"/>
    </row>
    <row r="484" spans="2:7" x14ac:dyDescent="0.2">
      <c r="B484" s="218" t="s">
        <v>448</v>
      </c>
      <c r="C484" s="219" t="s">
        <v>2</v>
      </c>
      <c r="D484" s="228">
        <v>1.23</v>
      </c>
      <c r="E484" s="229"/>
      <c r="F484" s="220">
        <v>1208.1199999999999</v>
      </c>
      <c r="G484" s="221">
        <v>1483.65</v>
      </c>
    </row>
    <row r="485" spans="2:7" x14ac:dyDescent="0.2">
      <c r="B485" s="180"/>
      <c r="C485" s="185"/>
      <c r="D485" s="181"/>
      <c r="E485" s="186"/>
      <c r="F485" s="222"/>
      <c r="G485" s="230"/>
    </row>
    <row r="486" spans="2:7" x14ac:dyDescent="0.2">
      <c r="B486" s="157"/>
      <c r="C486" s="158"/>
      <c r="D486" s="156"/>
      <c r="E486" s="156"/>
      <c r="F486" s="159" t="s">
        <v>449</v>
      </c>
      <c r="G486" s="183">
        <v>1483.65</v>
      </c>
    </row>
    <row r="487" spans="2:7" x14ac:dyDescent="0.2">
      <c r="B487" s="161" t="s">
        <v>450</v>
      </c>
      <c r="C487" s="158"/>
      <c r="D487" s="156"/>
      <c r="E487" s="156"/>
      <c r="F487" s="159"/>
      <c r="G487" s="160"/>
    </row>
    <row r="488" spans="2:7" x14ac:dyDescent="0.2">
      <c r="B488" s="184" t="s">
        <v>451</v>
      </c>
      <c r="C488" s="185" t="s">
        <v>2</v>
      </c>
      <c r="D488" s="178">
        <v>12405.83</v>
      </c>
      <c r="E488" s="186"/>
      <c r="F488" s="187">
        <v>0.02</v>
      </c>
      <c r="G488" s="188">
        <v>248.11</v>
      </c>
    </row>
    <row r="489" spans="2:7" x14ac:dyDescent="0.2">
      <c r="B489" s="157"/>
      <c r="C489" s="158"/>
      <c r="D489" s="156"/>
      <c r="E489" s="156"/>
      <c r="F489" s="159" t="s">
        <v>452</v>
      </c>
      <c r="G489" s="183">
        <v>248.11</v>
      </c>
    </row>
    <row r="490" spans="2:7" x14ac:dyDescent="0.2">
      <c r="B490" s="161" t="s">
        <v>453</v>
      </c>
      <c r="C490" s="158"/>
      <c r="D490" s="156"/>
      <c r="E490" s="156"/>
      <c r="F490" s="159"/>
      <c r="G490" s="160"/>
    </row>
    <row r="491" spans="2:7" x14ac:dyDescent="0.2">
      <c r="B491" s="189" t="s">
        <v>454</v>
      </c>
      <c r="C491" s="190" t="s">
        <v>2</v>
      </c>
      <c r="D491" s="231">
        <v>4.0000000000000001E-3</v>
      </c>
      <c r="E491" s="232"/>
      <c r="F491" s="193">
        <v>121500</v>
      </c>
      <c r="G491" s="194">
        <v>532.89</v>
      </c>
    </row>
    <row r="492" spans="2:7" x14ac:dyDescent="0.2">
      <c r="B492" s="195" t="s">
        <v>455</v>
      </c>
      <c r="C492" s="233" t="s">
        <v>456</v>
      </c>
      <c r="D492" s="234">
        <v>12405.83</v>
      </c>
      <c r="E492" s="226"/>
      <c r="F492" s="235"/>
      <c r="G492" s="199" t="s">
        <v>457</v>
      </c>
    </row>
    <row r="493" spans="2:7" x14ac:dyDescent="0.2">
      <c r="B493" s="195" t="s">
        <v>458</v>
      </c>
      <c r="C493" s="233" t="s">
        <v>456</v>
      </c>
      <c r="D493" s="178">
        <v>12405.83</v>
      </c>
      <c r="E493" s="226"/>
      <c r="F493" s="235"/>
      <c r="G493" s="199" t="s">
        <v>457</v>
      </c>
    </row>
    <row r="494" spans="2:7" x14ac:dyDescent="0.2">
      <c r="B494" s="236"/>
      <c r="C494" s="185"/>
      <c r="D494" s="205"/>
      <c r="E494" s="186"/>
      <c r="F494" s="222"/>
      <c r="G494" s="237"/>
    </row>
    <row r="495" spans="2:7" x14ac:dyDescent="0.2">
      <c r="B495" s="157"/>
      <c r="C495" s="158"/>
      <c r="D495" s="156"/>
      <c r="E495" s="156"/>
      <c r="F495" s="159" t="s">
        <v>459</v>
      </c>
      <c r="G495" s="183">
        <v>532.89</v>
      </c>
    </row>
    <row r="496" spans="2:7" x14ac:dyDescent="0.2">
      <c r="B496" s="157"/>
      <c r="C496" s="158"/>
      <c r="D496" s="156"/>
      <c r="E496" s="156"/>
      <c r="F496" s="159"/>
      <c r="G496" s="160"/>
    </row>
    <row r="497" spans="2:7" ht="17" thickBot="1" x14ac:dyDescent="0.25">
      <c r="B497" s="206"/>
      <c r="C497" s="207"/>
      <c r="D497" s="208"/>
      <c r="E497" s="209" t="s">
        <v>460</v>
      </c>
      <c r="F497" s="210">
        <v>132074.54999999999</v>
      </c>
      <c r="G497" s="211">
        <v>12654</v>
      </c>
    </row>
    <row r="498" spans="2:7" ht="17" thickTop="1" x14ac:dyDescent="0.2">
      <c r="B498" s="212"/>
      <c r="C498" s="213"/>
      <c r="D498" s="212"/>
      <c r="E498" s="212"/>
      <c r="F498" s="212"/>
      <c r="G498" s="212"/>
    </row>
    <row r="499" spans="2:7" ht="17" thickBot="1" x14ac:dyDescent="0.25">
      <c r="B499" s="212"/>
      <c r="C499" s="213"/>
      <c r="D499" s="212"/>
      <c r="E499" s="212"/>
      <c r="F499" s="212"/>
      <c r="G499" s="212"/>
    </row>
    <row r="500" spans="2:7" ht="17" thickTop="1" x14ac:dyDescent="0.2">
      <c r="B500" s="537" t="s">
        <v>31</v>
      </c>
      <c r="C500" s="538"/>
      <c r="D500" s="538"/>
      <c r="E500" s="538"/>
      <c r="F500" s="148"/>
      <c r="G500" s="149" t="s">
        <v>439</v>
      </c>
    </row>
    <row r="501" spans="2:7" x14ac:dyDescent="0.2">
      <c r="B501" s="539"/>
      <c r="C501" s="540"/>
      <c r="D501" s="540"/>
      <c r="E501" s="540"/>
      <c r="F501" s="150"/>
      <c r="G501" s="151" t="s">
        <v>484</v>
      </c>
    </row>
    <row r="502" spans="2:7" x14ac:dyDescent="0.2">
      <c r="B502" s="152" t="s">
        <v>1</v>
      </c>
      <c r="C502" s="153" t="s">
        <v>2</v>
      </c>
      <c r="D502" s="153" t="s">
        <v>3</v>
      </c>
      <c r="E502" s="153" t="s">
        <v>441</v>
      </c>
      <c r="F502" s="154" t="s">
        <v>442</v>
      </c>
      <c r="G502" s="155" t="s">
        <v>443</v>
      </c>
    </row>
    <row r="503" spans="2:7" x14ac:dyDescent="0.2">
      <c r="B503" s="157"/>
      <c r="C503" s="158"/>
      <c r="D503" s="156"/>
      <c r="E503" s="156"/>
      <c r="F503" s="159"/>
      <c r="G503" s="160"/>
    </row>
    <row r="504" spans="2:7" x14ac:dyDescent="0.2">
      <c r="B504" s="161" t="s">
        <v>444</v>
      </c>
      <c r="C504" s="158"/>
      <c r="D504" s="156"/>
      <c r="E504" s="156"/>
      <c r="F504" s="159"/>
      <c r="G504" s="160"/>
    </row>
    <row r="505" spans="2:7" x14ac:dyDescent="0.2">
      <c r="B505" s="162" t="s">
        <v>485</v>
      </c>
      <c r="C505" s="163" t="s">
        <v>8</v>
      </c>
      <c r="D505" s="164">
        <v>2</v>
      </c>
      <c r="E505" s="224">
        <v>14.04</v>
      </c>
      <c r="F505" s="166">
        <v>20209.61</v>
      </c>
      <c r="G505" s="167">
        <v>46092.09</v>
      </c>
    </row>
    <row r="506" spans="2:7" x14ac:dyDescent="0.2">
      <c r="B506" s="168"/>
      <c r="C506" s="225"/>
      <c r="D506" s="170"/>
      <c r="E506" s="226"/>
      <c r="F506" s="227"/>
      <c r="G506" s="172"/>
    </row>
    <row r="507" spans="2:7" x14ac:dyDescent="0.2">
      <c r="B507" s="157"/>
      <c r="C507" s="158"/>
      <c r="D507" s="156"/>
      <c r="E507" s="156"/>
      <c r="F507" s="159" t="s">
        <v>446</v>
      </c>
      <c r="G507" s="183">
        <v>46092.09</v>
      </c>
    </row>
    <row r="508" spans="2:7" x14ac:dyDescent="0.2">
      <c r="B508" s="161" t="s">
        <v>447</v>
      </c>
      <c r="C508" s="158"/>
      <c r="D508" s="156"/>
      <c r="E508" s="156"/>
      <c r="F508" s="159"/>
      <c r="G508" s="160"/>
    </row>
    <row r="509" spans="2:7" x14ac:dyDescent="0.2">
      <c r="B509" s="218" t="s">
        <v>448</v>
      </c>
      <c r="C509" s="219" t="s">
        <v>2</v>
      </c>
      <c r="D509" s="228">
        <v>6.32</v>
      </c>
      <c r="E509" s="229"/>
      <c r="F509" s="220">
        <v>1208.1199999999999</v>
      </c>
      <c r="G509" s="221">
        <v>7630.23</v>
      </c>
    </row>
    <row r="510" spans="2:7" x14ac:dyDescent="0.2">
      <c r="B510" s="180"/>
      <c r="C510" s="185"/>
      <c r="D510" s="181"/>
      <c r="E510" s="186"/>
      <c r="F510" s="222"/>
      <c r="G510" s="230"/>
    </row>
    <row r="511" spans="2:7" x14ac:dyDescent="0.2">
      <c r="B511" s="157"/>
      <c r="C511" s="158"/>
      <c r="D511" s="156"/>
      <c r="E511" s="156"/>
      <c r="F511" s="159" t="s">
        <v>449</v>
      </c>
      <c r="G511" s="183">
        <v>7630.23</v>
      </c>
    </row>
    <row r="512" spans="2:7" x14ac:dyDescent="0.2">
      <c r="B512" s="161" t="s">
        <v>450</v>
      </c>
      <c r="C512" s="158"/>
      <c r="D512" s="156"/>
      <c r="E512" s="156"/>
      <c r="F512" s="159"/>
      <c r="G512" s="160"/>
    </row>
    <row r="513" spans="2:7" x14ac:dyDescent="0.2">
      <c r="B513" s="184" t="s">
        <v>451</v>
      </c>
      <c r="C513" s="185" t="s">
        <v>2</v>
      </c>
      <c r="D513" s="178">
        <v>58838.1</v>
      </c>
      <c r="E513" s="186"/>
      <c r="F513" s="187">
        <v>0.02</v>
      </c>
      <c r="G513" s="188">
        <v>1176.76</v>
      </c>
    </row>
    <row r="514" spans="2:7" x14ac:dyDescent="0.2">
      <c r="B514" s="157"/>
      <c r="C514" s="158"/>
      <c r="D514" s="156"/>
      <c r="E514" s="156"/>
      <c r="F514" s="159" t="s">
        <v>452</v>
      </c>
      <c r="G514" s="183">
        <v>1176.76</v>
      </c>
    </row>
    <row r="515" spans="2:7" x14ac:dyDescent="0.2">
      <c r="B515" s="161" t="s">
        <v>453</v>
      </c>
      <c r="C515" s="158"/>
      <c r="D515" s="156"/>
      <c r="E515" s="156"/>
      <c r="F515" s="159"/>
      <c r="G515" s="160"/>
    </row>
    <row r="516" spans="2:7" x14ac:dyDescent="0.2">
      <c r="B516" s="189" t="s">
        <v>454</v>
      </c>
      <c r="C516" s="190" t="s">
        <v>2</v>
      </c>
      <c r="D516" s="231">
        <v>4.2000000000000003E-2</v>
      </c>
      <c r="E516" s="232"/>
      <c r="F516" s="193">
        <v>121500</v>
      </c>
      <c r="G516" s="194">
        <v>5115.78</v>
      </c>
    </row>
    <row r="517" spans="2:7" x14ac:dyDescent="0.2">
      <c r="B517" s="195" t="s">
        <v>455</v>
      </c>
      <c r="C517" s="233" t="s">
        <v>456</v>
      </c>
      <c r="D517" s="234">
        <v>58838.1</v>
      </c>
      <c r="E517" s="226"/>
      <c r="F517" s="235"/>
      <c r="G517" s="199" t="s">
        <v>457</v>
      </c>
    </row>
    <row r="518" spans="2:7" x14ac:dyDescent="0.2">
      <c r="B518" s="200" t="s">
        <v>458</v>
      </c>
      <c r="C518" s="169" t="s">
        <v>456</v>
      </c>
      <c r="D518" s="178">
        <v>58838.1</v>
      </c>
      <c r="E518" s="170"/>
      <c r="F518" s="238"/>
      <c r="G518" s="204" t="s">
        <v>457</v>
      </c>
    </row>
    <row r="519" spans="2:7" x14ac:dyDescent="0.2">
      <c r="B519" s="180"/>
      <c r="C519" s="169"/>
      <c r="D519" s="205"/>
      <c r="E519" s="170"/>
      <c r="F519" s="171"/>
      <c r="G519" s="230"/>
    </row>
    <row r="520" spans="2:7" x14ac:dyDescent="0.2">
      <c r="B520" s="157"/>
      <c r="C520" s="158"/>
      <c r="D520" s="156"/>
      <c r="E520" s="156"/>
      <c r="F520" s="159" t="s">
        <v>459</v>
      </c>
      <c r="G520" s="183">
        <v>5115.78</v>
      </c>
    </row>
    <row r="521" spans="2:7" x14ac:dyDescent="0.2">
      <c r="B521" s="157"/>
      <c r="C521" s="158"/>
      <c r="D521" s="156"/>
      <c r="E521" s="156"/>
      <c r="F521" s="159"/>
      <c r="G521" s="160"/>
    </row>
    <row r="522" spans="2:7" ht="17" thickBot="1" x14ac:dyDescent="0.25">
      <c r="B522" s="206"/>
      <c r="C522" s="207"/>
      <c r="D522" s="208"/>
      <c r="E522" s="209" t="s">
        <v>460</v>
      </c>
      <c r="F522" s="210">
        <v>19115.990000000002</v>
      </c>
      <c r="G522" s="211">
        <v>60015</v>
      </c>
    </row>
    <row r="523" spans="2:7" ht="17" thickTop="1" x14ac:dyDescent="0.2">
      <c r="B523" s="212"/>
      <c r="C523" s="213"/>
      <c r="D523" s="212"/>
      <c r="E523" s="212"/>
      <c r="F523" s="212"/>
      <c r="G523" s="212"/>
    </row>
    <row r="524" spans="2:7" ht="17" thickBot="1" x14ac:dyDescent="0.25">
      <c r="B524" s="212"/>
      <c r="C524" s="213"/>
      <c r="D524" s="212"/>
      <c r="E524" s="212"/>
      <c r="F524" s="212"/>
      <c r="G524" s="212"/>
    </row>
    <row r="525" spans="2:7" ht="17" thickTop="1" x14ac:dyDescent="0.2">
      <c r="B525" s="537" t="s">
        <v>486</v>
      </c>
      <c r="C525" s="538"/>
      <c r="D525" s="538"/>
      <c r="E525" s="538"/>
      <c r="F525" s="148"/>
      <c r="G525" s="149" t="s">
        <v>439</v>
      </c>
    </row>
    <row r="526" spans="2:7" x14ac:dyDescent="0.2">
      <c r="B526" s="539"/>
      <c r="C526" s="540"/>
      <c r="D526" s="540"/>
      <c r="E526" s="540"/>
      <c r="F526" s="150"/>
      <c r="G526" s="151" t="s">
        <v>487</v>
      </c>
    </row>
    <row r="527" spans="2:7" x14ac:dyDescent="0.2">
      <c r="B527" s="152" t="s">
        <v>1</v>
      </c>
      <c r="C527" s="153" t="s">
        <v>2</v>
      </c>
      <c r="D527" s="153" t="s">
        <v>3</v>
      </c>
      <c r="E527" s="153" t="s">
        <v>441</v>
      </c>
      <c r="F527" s="154" t="s">
        <v>442</v>
      </c>
      <c r="G527" s="155" t="s">
        <v>443</v>
      </c>
    </row>
    <row r="528" spans="2:7" x14ac:dyDescent="0.2">
      <c r="B528" s="157"/>
      <c r="C528" s="158"/>
      <c r="D528" s="156"/>
      <c r="E528" s="156"/>
      <c r="F528" s="159"/>
      <c r="G528" s="160"/>
    </row>
    <row r="529" spans="2:7" x14ac:dyDescent="0.2">
      <c r="B529" s="161" t="s">
        <v>444</v>
      </c>
      <c r="C529" s="158"/>
      <c r="D529" s="156"/>
      <c r="E529" s="156"/>
      <c r="F529" s="159"/>
      <c r="G529" s="160"/>
    </row>
    <row r="530" spans="2:7" x14ac:dyDescent="0.2">
      <c r="B530" s="162" t="s">
        <v>485</v>
      </c>
      <c r="C530" s="163" t="s">
        <v>8</v>
      </c>
      <c r="D530" s="164">
        <v>1</v>
      </c>
      <c r="E530" s="224">
        <v>14.04</v>
      </c>
      <c r="F530" s="166">
        <v>20209.61</v>
      </c>
      <c r="G530" s="167">
        <v>23046.04</v>
      </c>
    </row>
    <row r="531" spans="2:7" x14ac:dyDescent="0.2">
      <c r="B531" s="200"/>
      <c r="C531" s="169"/>
      <c r="D531" s="170"/>
      <c r="E531" s="170"/>
      <c r="F531" s="171"/>
      <c r="G531" s="204"/>
    </row>
    <row r="532" spans="2:7" x14ac:dyDescent="0.2">
      <c r="B532" s="157"/>
      <c r="C532" s="158"/>
      <c r="D532" s="156"/>
      <c r="E532" s="156"/>
      <c r="F532" s="159" t="s">
        <v>446</v>
      </c>
      <c r="G532" s="183">
        <v>23046.04</v>
      </c>
    </row>
    <row r="533" spans="2:7" x14ac:dyDescent="0.2">
      <c r="B533" s="161" t="s">
        <v>447</v>
      </c>
      <c r="C533" s="158"/>
      <c r="D533" s="156"/>
      <c r="E533" s="156"/>
      <c r="F533" s="159"/>
      <c r="G533" s="160"/>
    </row>
    <row r="534" spans="2:7" x14ac:dyDescent="0.2">
      <c r="B534" s="218" t="s">
        <v>448</v>
      </c>
      <c r="C534" s="219" t="s">
        <v>2</v>
      </c>
      <c r="D534" s="228">
        <v>4.21</v>
      </c>
      <c r="E534" s="229"/>
      <c r="F534" s="220">
        <v>1208.1199999999999</v>
      </c>
      <c r="G534" s="221">
        <v>5086.82</v>
      </c>
    </row>
    <row r="535" spans="2:7" x14ac:dyDescent="0.2">
      <c r="B535" s="180"/>
      <c r="C535" s="185"/>
      <c r="D535" s="181"/>
      <c r="E535" s="186"/>
      <c r="F535" s="222"/>
      <c r="G535" s="230"/>
    </row>
    <row r="536" spans="2:7" x14ac:dyDescent="0.2">
      <c r="B536" s="157"/>
      <c r="C536" s="158"/>
      <c r="D536" s="156"/>
      <c r="E536" s="156"/>
      <c r="F536" s="159" t="s">
        <v>449</v>
      </c>
      <c r="G536" s="183">
        <v>5086.82</v>
      </c>
    </row>
    <row r="537" spans="2:7" x14ac:dyDescent="0.2">
      <c r="B537" s="161" t="s">
        <v>450</v>
      </c>
      <c r="C537" s="158"/>
      <c r="D537" s="156"/>
      <c r="E537" s="156"/>
      <c r="F537" s="159"/>
      <c r="G537" s="160"/>
    </row>
    <row r="538" spans="2:7" x14ac:dyDescent="0.2">
      <c r="B538" s="184" t="s">
        <v>451</v>
      </c>
      <c r="C538" s="185" t="s">
        <v>2</v>
      </c>
      <c r="D538" s="178">
        <v>28985.49</v>
      </c>
      <c r="E538" s="186"/>
      <c r="F538" s="187">
        <v>0.02</v>
      </c>
      <c r="G538" s="188">
        <v>579.70000000000005</v>
      </c>
    </row>
    <row r="539" spans="2:7" x14ac:dyDescent="0.2">
      <c r="B539" s="157"/>
      <c r="C539" s="158"/>
      <c r="D539" s="156"/>
      <c r="E539" s="156"/>
      <c r="F539" s="159" t="s">
        <v>452</v>
      </c>
      <c r="G539" s="183">
        <v>579.70000000000005</v>
      </c>
    </row>
    <row r="540" spans="2:7" x14ac:dyDescent="0.2">
      <c r="B540" s="161" t="s">
        <v>453</v>
      </c>
      <c r="C540" s="158"/>
      <c r="D540" s="156"/>
      <c r="E540" s="156"/>
      <c r="F540" s="159"/>
      <c r="G540" s="160"/>
    </row>
    <row r="541" spans="2:7" x14ac:dyDescent="0.2">
      <c r="B541" s="189" t="s">
        <v>454</v>
      </c>
      <c r="C541" s="190" t="s">
        <v>2</v>
      </c>
      <c r="D541" s="231">
        <v>7.0000000000000001E-3</v>
      </c>
      <c r="E541" s="232"/>
      <c r="F541" s="193">
        <v>121500</v>
      </c>
      <c r="G541" s="194">
        <v>852.63</v>
      </c>
    </row>
    <row r="542" spans="2:7" x14ac:dyDescent="0.2">
      <c r="B542" s="195" t="s">
        <v>455</v>
      </c>
      <c r="C542" s="233" t="s">
        <v>456</v>
      </c>
      <c r="D542" s="234">
        <v>28985.49</v>
      </c>
      <c r="E542" s="226"/>
      <c r="F542" s="235"/>
      <c r="G542" s="199" t="s">
        <v>457</v>
      </c>
    </row>
    <row r="543" spans="2:7" x14ac:dyDescent="0.2">
      <c r="B543" s="195" t="s">
        <v>458</v>
      </c>
      <c r="C543" s="233" t="s">
        <v>456</v>
      </c>
      <c r="D543" s="178">
        <v>28985.49</v>
      </c>
      <c r="E543" s="226"/>
      <c r="F543" s="235"/>
      <c r="G543" s="199" t="s">
        <v>457</v>
      </c>
    </row>
    <row r="544" spans="2:7" x14ac:dyDescent="0.2">
      <c r="B544" s="157"/>
      <c r="C544" s="158"/>
      <c r="D544" s="156"/>
      <c r="E544" s="156"/>
      <c r="F544" s="159" t="s">
        <v>459</v>
      </c>
      <c r="G544" s="173">
        <v>852.63</v>
      </c>
    </row>
    <row r="545" spans="2:7" x14ac:dyDescent="0.2">
      <c r="B545" s="157"/>
      <c r="C545" s="158"/>
      <c r="D545" s="156"/>
      <c r="E545" s="156"/>
      <c r="F545" s="159"/>
      <c r="G545" s="160"/>
    </row>
    <row r="546" spans="2:7" ht="17" thickBot="1" x14ac:dyDescent="0.25">
      <c r="B546" s="206"/>
      <c r="C546" s="207"/>
      <c r="D546" s="208"/>
      <c r="E546" s="209" t="s">
        <v>460</v>
      </c>
      <c r="F546" s="210">
        <v>12218</v>
      </c>
      <c r="G546" s="211">
        <v>29565</v>
      </c>
    </row>
    <row r="547" spans="2:7" ht="17" thickTop="1" x14ac:dyDescent="0.2">
      <c r="B547" s="212"/>
      <c r="C547" s="213"/>
      <c r="D547" s="212"/>
      <c r="E547" s="212"/>
      <c r="F547" s="212"/>
      <c r="G547" s="212"/>
    </row>
    <row r="548" spans="2:7" ht="17" thickBot="1" x14ac:dyDescent="0.25">
      <c r="B548" s="212"/>
      <c r="C548" s="213"/>
      <c r="D548" s="212"/>
      <c r="E548" s="212"/>
      <c r="F548" s="212"/>
      <c r="G548" s="212"/>
    </row>
    <row r="549" spans="2:7" ht="17" thickTop="1" x14ac:dyDescent="0.2">
      <c r="B549" s="537" t="s">
        <v>33</v>
      </c>
      <c r="C549" s="538"/>
      <c r="D549" s="538"/>
      <c r="E549" s="538"/>
      <c r="F549" s="148"/>
      <c r="G549" s="149" t="s">
        <v>439</v>
      </c>
    </row>
    <row r="550" spans="2:7" x14ac:dyDescent="0.2">
      <c r="B550" s="539"/>
      <c r="C550" s="540"/>
      <c r="D550" s="540"/>
      <c r="E550" s="540"/>
      <c r="F550" s="150"/>
      <c r="G550" s="151" t="s">
        <v>488</v>
      </c>
    </row>
    <row r="551" spans="2:7" x14ac:dyDescent="0.2">
      <c r="B551" s="152" t="s">
        <v>1</v>
      </c>
      <c r="C551" s="153" t="s">
        <v>2</v>
      </c>
      <c r="D551" s="153" t="s">
        <v>3</v>
      </c>
      <c r="E551" s="153" t="s">
        <v>441</v>
      </c>
      <c r="F551" s="154" t="s">
        <v>442</v>
      </c>
      <c r="G551" s="155" t="s">
        <v>443</v>
      </c>
    </row>
    <row r="552" spans="2:7" x14ac:dyDescent="0.2">
      <c r="B552" s="157"/>
      <c r="C552" s="158"/>
      <c r="D552" s="156"/>
      <c r="E552" s="156"/>
      <c r="F552" s="159"/>
      <c r="G552" s="160"/>
    </row>
    <row r="553" spans="2:7" x14ac:dyDescent="0.2">
      <c r="B553" s="161" t="s">
        <v>444</v>
      </c>
      <c r="C553" s="158"/>
      <c r="D553" s="156"/>
      <c r="E553" s="156"/>
      <c r="F553" s="159"/>
      <c r="G553" s="160"/>
    </row>
    <row r="554" spans="2:7" x14ac:dyDescent="0.2">
      <c r="B554" s="162" t="s">
        <v>485</v>
      </c>
      <c r="C554" s="163" t="s">
        <v>8</v>
      </c>
      <c r="D554" s="164">
        <v>1</v>
      </c>
      <c r="E554" s="224">
        <v>14.04</v>
      </c>
      <c r="F554" s="166">
        <v>20209.61</v>
      </c>
      <c r="G554" s="167">
        <v>23046.04</v>
      </c>
    </row>
    <row r="555" spans="2:7" x14ac:dyDescent="0.2">
      <c r="B555" s="184"/>
      <c r="C555" s="185"/>
      <c r="D555" s="170"/>
      <c r="E555" s="170"/>
      <c r="F555" s="222"/>
      <c r="G555" s="188"/>
    </row>
    <row r="556" spans="2:7" x14ac:dyDescent="0.2">
      <c r="B556" s="157"/>
      <c r="C556" s="158"/>
      <c r="D556" s="156"/>
      <c r="E556" s="156"/>
      <c r="F556" s="159" t="s">
        <v>446</v>
      </c>
      <c r="G556" s="183">
        <v>23046.04</v>
      </c>
    </row>
    <row r="557" spans="2:7" x14ac:dyDescent="0.2">
      <c r="B557" s="161" t="s">
        <v>447</v>
      </c>
      <c r="C557" s="158"/>
      <c r="D557" s="156"/>
      <c r="E557" s="156"/>
      <c r="F557" s="159"/>
      <c r="G557" s="160"/>
    </row>
    <row r="558" spans="2:7" x14ac:dyDescent="0.2">
      <c r="B558" s="218" t="s">
        <v>448</v>
      </c>
      <c r="C558" s="219" t="s">
        <v>2</v>
      </c>
      <c r="D558" s="228">
        <v>1.75</v>
      </c>
      <c r="E558" s="229"/>
      <c r="F558" s="220">
        <v>1208.1199999999999</v>
      </c>
      <c r="G558" s="221">
        <v>2119.5</v>
      </c>
    </row>
    <row r="559" spans="2:7" x14ac:dyDescent="0.2">
      <c r="B559" s="180"/>
      <c r="C559" s="185"/>
      <c r="D559" s="181"/>
      <c r="E559" s="186"/>
      <c r="F559" s="222"/>
      <c r="G559" s="230"/>
    </row>
    <row r="560" spans="2:7" x14ac:dyDescent="0.2">
      <c r="B560" s="157"/>
      <c r="C560" s="158"/>
      <c r="D560" s="156"/>
      <c r="E560" s="156"/>
      <c r="F560" s="159" t="s">
        <v>449</v>
      </c>
      <c r="G560" s="183">
        <v>2119.5</v>
      </c>
    </row>
    <row r="561" spans="2:7" x14ac:dyDescent="0.2">
      <c r="B561" s="161" t="s">
        <v>450</v>
      </c>
      <c r="C561" s="158"/>
      <c r="D561" s="156"/>
      <c r="E561" s="156"/>
      <c r="F561" s="159"/>
      <c r="G561" s="160"/>
    </row>
    <row r="562" spans="2:7" x14ac:dyDescent="0.2">
      <c r="B562" s="184" t="s">
        <v>451</v>
      </c>
      <c r="C562" s="185" t="s">
        <v>2</v>
      </c>
      <c r="D562" s="178">
        <v>25876.06</v>
      </c>
      <c r="E562" s="186"/>
      <c r="F562" s="187">
        <v>0.02</v>
      </c>
      <c r="G562" s="188">
        <v>517.52</v>
      </c>
    </row>
    <row r="563" spans="2:7" x14ac:dyDescent="0.2">
      <c r="B563" s="157"/>
      <c r="C563" s="158"/>
      <c r="D563" s="156"/>
      <c r="E563" s="156"/>
      <c r="F563" s="159" t="s">
        <v>452</v>
      </c>
      <c r="G563" s="183">
        <v>517.52</v>
      </c>
    </row>
    <row r="564" spans="2:7" x14ac:dyDescent="0.2">
      <c r="B564" s="161" t="s">
        <v>453</v>
      </c>
      <c r="C564" s="158"/>
      <c r="D564" s="156"/>
      <c r="E564" s="156"/>
      <c r="F564" s="159"/>
      <c r="G564" s="160"/>
    </row>
    <row r="565" spans="2:7" x14ac:dyDescent="0.2">
      <c r="B565" s="189" t="s">
        <v>454</v>
      </c>
      <c r="C565" s="190" t="s">
        <v>2</v>
      </c>
      <c r="D565" s="231">
        <v>6.0000000000000001E-3</v>
      </c>
      <c r="E565" s="232"/>
      <c r="F565" s="193">
        <v>121500</v>
      </c>
      <c r="G565" s="194">
        <v>710.52</v>
      </c>
    </row>
    <row r="566" spans="2:7" x14ac:dyDescent="0.2">
      <c r="B566" s="195" t="s">
        <v>455</v>
      </c>
      <c r="C566" s="233" t="s">
        <v>456</v>
      </c>
      <c r="D566" s="234">
        <v>25876.06</v>
      </c>
      <c r="E566" s="226"/>
      <c r="F566" s="235"/>
      <c r="G566" s="199" t="s">
        <v>457</v>
      </c>
    </row>
    <row r="567" spans="2:7" x14ac:dyDescent="0.2">
      <c r="B567" s="200" t="s">
        <v>458</v>
      </c>
      <c r="C567" s="169" t="s">
        <v>456</v>
      </c>
      <c r="D567" s="178">
        <v>25876.06</v>
      </c>
      <c r="E567" s="170"/>
      <c r="F567" s="238"/>
      <c r="G567" s="204" t="s">
        <v>457</v>
      </c>
    </row>
    <row r="568" spans="2:7" x14ac:dyDescent="0.2">
      <c r="B568" s="180"/>
      <c r="C568" s="169"/>
      <c r="D568" s="205"/>
      <c r="E568" s="170"/>
      <c r="F568" s="171"/>
      <c r="G568" s="230"/>
    </row>
    <row r="569" spans="2:7" x14ac:dyDescent="0.2">
      <c r="B569" s="157"/>
      <c r="C569" s="158"/>
      <c r="D569" s="156"/>
      <c r="E569" s="156"/>
      <c r="F569" s="159" t="s">
        <v>459</v>
      </c>
      <c r="G569" s="183">
        <v>710.52</v>
      </c>
    </row>
    <row r="570" spans="2:7" x14ac:dyDescent="0.2">
      <c r="B570" s="157"/>
      <c r="C570" s="158"/>
      <c r="D570" s="156"/>
      <c r="E570" s="156"/>
      <c r="F570" s="159"/>
      <c r="G570" s="160"/>
    </row>
    <row r="571" spans="2:7" ht="17" thickBot="1" x14ac:dyDescent="0.25">
      <c r="B571" s="206"/>
      <c r="C571" s="207"/>
      <c r="D571" s="208"/>
      <c r="E571" s="209" t="s">
        <v>460</v>
      </c>
      <c r="F571" s="210">
        <v>10946.97</v>
      </c>
      <c r="G571" s="211">
        <v>26394</v>
      </c>
    </row>
    <row r="572" spans="2:7" ht="17" thickTop="1" x14ac:dyDescent="0.2">
      <c r="B572" s="212"/>
      <c r="C572" s="213"/>
      <c r="D572" s="212"/>
      <c r="E572" s="212"/>
      <c r="F572" s="212"/>
      <c r="G572" s="212"/>
    </row>
    <row r="573" spans="2:7" ht="17" thickBot="1" x14ac:dyDescent="0.25">
      <c r="B573" s="212"/>
      <c r="C573" s="213"/>
      <c r="D573" s="212"/>
      <c r="E573" s="212"/>
      <c r="F573" s="212"/>
      <c r="G573" s="212"/>
    </row>
    <row r="574" spans="2:7" ht="17" thickTop="1" x14ac:dyDescent="0.2">
      <c r="B574" s="537" t="s">
        <v>489</v>
      </c>
      <c r="C574" s="538"/>
      <c r="D574" s="538"/>
      <c r="E574" s="538"/>
      <c r="F574" s="148"/>
      <c r="G574" s="149" t="s">
        <v>439</v>
      </c>
    </row>
    <row r="575" spans="2:7" x14ac:dyDescent="0.2">
      <c r="B575" s="539"/>
      <c r="C575" s="540"/>
      <c r="D575" s="540"/>
      <c r="E575" s="540"/>
      <c r="F575" s="150"/>
      <c r="G575" s="151" t="s">
        <v>490</v>
      </c>
    </row>
    <row r="576" spans="2:7" x14ac:dyDescent="0.2">
      <c r="B576" s="152" t="s">
        <v>1</v>
      </c>
      <c r="C576" s="153" t="s">
        <v>2</v>
      </c>
      <c r="D576" s="153" t="s">
        <v>3</v>
      </c>
      <c r="E576" s="153" t="s">
        <v>441</v>
      </c>
      <c r="F576" s="154" t="s">
        <v>442</v>
      </c>
      <c r="G576" s="155" t="s">
        <v>443</v>
      </c>
    </row>
    <row r="577" spans="2:7" x14ac:dyDescent="0.2">
      <c r="B577" s="157"/>
      <c r="C577" s="158"/>
      <c r="D577" s="156"/>
      <c r="E577" s="156"/>
      <c r="F577" s="159"/>
      <c r="G577" s="160"/>
    </row>
    <row r="578" spans="2:7" x14ac:dyDescent="0.2">
      <c r="B578" s="161" t="s">
        <v>444</v>
      </c>
      <c r="C578" s="158"/>
      <c r="D578" s="156"/>
      <c r="E578" s="156"/>
      <c r="F578" s="159"/>
      <c r="G578" s="160"/>
    </row>
    <row r="579" spans="2:7" x14ac:dyDescent="0.2">
      <c r="B579" s="162" t="s">
        <v>485</v>
      </c>
      <c r="C579" s="163" t="s">
        <v>8</v>
      </c>
      <c r="D579" s="164">
        <v>0.52</v>
      </c>
      <c r="E579" s="224">
        <v>14.04</v>
      </c>
      <c r="F579" s="166">
        <v>20209.61</v>
      </c>
      <c r="G579" s="167">
        <v>12089.72</v>
      </c>
    </row>
    <row r="580" spans="2:7" x14ac:dyDescent="0.2">
      <c r="B580" s="184"/>
      <c r="C580" s="185"/>
      <c r="D580" s="170"/>
      <c r="E580" s="170"/>
      <c r="F580" s="222"/>
      <c r="G580" s="188"/>
    </row>
    <row r="581" spans="2:7" x14ac:dyDescent="0.2">
      <c r="B581" s="157"/>
      <c r="C581" s="158"/>
      <c r="D581" s="156"/>
      <c r="E581" s="156"/>
      <c r="F581" s="159" t="s">
        <v>446</v>
      </c>
      <c r="G581" s="183">
        <v>12089.72</v>
      </c>
    </row>
    <row r="582" spans="2:7" x14ac:dyDescent="0.2">
      <c r="B582" s="161" t="s">
        <v>447</v>
      </c>
      <c r="C582" s="158"/>
      <c r="D582" s="156"/>
      <c r="E582" s="156"/>
      <c r="F582" s="159"/>
      <c r="G582" s="160"/>
    </row>
    <row r="583" spans="2:7" x14ac:dyDescent="0.2">
      <c r="B583" s="218" t="s">
        <v>448</v>
      </c>
      <c r="C583" s="219" t="s">
        <v>2</v>
      </c>
      <c r="D583" s="228">
        <v>1.75</v>
      </c>
      <c r="E583" s="229"/>
      <c r="F583" s="220">
        <v>1208.1199999999999</v>
      </c>
      <c r="G583" s="221">
        <v>2119.5</v>
      </c>
    </row>
    <row r="584" spans="2:7" x14ac:dyDescent="0.2">
      <c r="B584" s="180"/>
      <c r="C584" s="185"/>
      <c r="D584" s="181"/>
      <c r="E584" s="186"/>
      <c r="F584" s="222"/>
      <c r="G584" s="230"/>
    </row>
    <row r="585" spans="2:7" x14ac:dyDescent="0.2">
      <c r="B585" s="157"/>
      <c r="C585" s="158"/>
      <c r="D585" s="156"/>
      <c r="E585" s="156"/>
      <c r="F585" s="159" t="s">
        <v>449</v>
      </c>
      <c r="G585" s="183">
        <v>2119.5</v>
      </c>
    </row>
    <row r="586" spans="2:7" x14ac:dyDescent="0.2">
      <c r="B586" s="161" t="s">
        <v>450</v>
      </c>
      <c r="C586" s="158"/>
      <c r="D586" s="156"/>
      <c r="E586" s="156"/>
      <c r="F586" s="159"/>
      <c r="G586" s="160"/>
    </row>
    <row r="587" spans="2:7" x14ac:dyDescent="0.2">
      <c r="B587" s="184" t="s">
        <v>451</v>
      </c>
      <c r="C587" s="185" t="s">
        <v>2</v>
      </c>
      <c r="D587" s="178">
        <v>14818.24</v>
      </c>
      <c r="E587" s="186"/>
      <c r="F587" s="187">
        <v>0.02</v>
      </c>
      <c r="G587" s="188">
        <v>296.36</v>
      </c>
    </row>
    <row r="588" spans="2:7" x14ac:dyDescent="0.2">
      <c r="B588" s="157"/>
      <c r="C588" s="158"/>
      <c r="D588" s="156"/>
      <c r="E588" s="156"/>
      <c r="F588" s="159" t="s">
        <v>452</v>
      </c>
      <c r="G588" s="183">
        <v>296.36</v>
      </c>
    </row>
    <row r="589" spans="2:7" x14ac:dyDescent="0.2">
      <c r="B589" s="161" t="s">
        <v>453</v>
      </c>
      <c r="C589" s="158"/>
      <c r="D589" s="156"/>
      <c r="E589" s="156"/>
      <c r="F589" s="159"/>
      <c r="G589" s="160"/>
    </row>
    <row r="590" spans="2:7" x14ac:dyDescent="0.2">
      <c r="B590" s="189" t="s">
        <v>454</v>
      </c>
      <c r="C590" s="190" t="s">
        <v>2</v>
      </c>
      <c r="D590" s="231">
        <v>5.0000000000000001E-3</v>
      </c>
      <c r="E590" s="232"/>
      <c r="F590" s="193">
        <v>121500</v>
      </c>
      <c r="G590" s="194">
        <v>609.02</v>
      </c>
    </row>
    <row r="591" spans="2:7" x14ac:dyDescent="0.2">
      <c r="B591" s="195" t="s">
        <v>455</v>
      </c>
      <c r="C591" s="233" t="s">
        <v>456</v>
      </c>
      <c r="D591" s="234">
        <v>14818.24</v>
      </c>
      <c r="E591" s="226"/>
      <c r="F591" s="235"/>
      <c r="G591" s="199" t="s">
        <v>457</v>
      </c>
    </row>
    <row r="592" spans="2:7" x14ac:dyDescent="0.2">
      <c r="B592" s="195" t="s">
        <v>458</v>
      </c>
      <c r="C592" s="233" t="s">
        <v>456</v>
      </c>
      <c r="D592" s="178">
        <v>14818.24</v>
      </c>
      <c r="E592" s="226"/>
      <c r="F592" s="235"/>
      <c r="G592" s="199" t="s">
        <v>457</v>
      </c>
    </row>
    <row r="593" spans="2:7" x14ac:dyDescent="0.2">
      <c r="B593" s="157"/>
      <c r="C593" s="158"/>
      <c r="D593" s="156"/>
      <c r="E593" s="156"/>
      <c r="F593" s="159" t="s">
        <v>459</v>
      </c>
      <c r="G593" s="173">
        <v>609.02</v>
      </c>
    </row>
    <row r="594" spans="2:7" x14ac:dyDescent="0.2">
      <c r="B594" s="157"/>
      <c r="C594" s="158"/>
      <c r="D594" s="156"/>
      <c r="E594" s="156"/>
      <c r="F594" s="159"/>
      <c r="G594" s="160"/>
    </row>
    <row r="595" spans="2:7" ht="17" thickBot="1" x14ac:dyDescent="0.25">
      <c r="B595" s="206"/>
      <c r="C595" s="207"/>
      <c r="D595" s="208"/>
      <c r="E595" s="209" t="s">
        <v>460</v>
      </c>
      <c r="F595" s="210">
        <v>7629.96</v>
      </c>
      <c r="G595" s="211">
        <v>15115</v>
      </c>
    </row>
    <row r="596" spans="2:7" ht="17" thickTop="1" x14ac:dyDescent="0.2">
      <c r="B596" s="212"/>
      <c r="C596" s="213"/>
      <c r="D596" s="212"/>
      <c r="E596" s="212"/>
      <c r="F596" s="212"/>
      <c r="G596" s="212"/>
    </row>
    <row r="597" spans="2:7" ht="17" thickBot="1" x14ac:dyDescent="0.25">
      <c r="B597" s="212"/>
      <c r="C597" s="213"/>
      <c r="D597" s="212"/>
      <c r="E597" s="212"/>
      <c r="F597" s="212"/>
      <c r="G597" s="212"/>
    </row>
    <row r="598" spans="2:7" ht="17" thickTop="1" x14ac:dyDescent="0.2">
      <c r="B598" s="537" t="s">
        <v>491</v>
      </c>
      <c r="C598" s="538"/>
      <c r="D598" s="538"/>
      <c r="E598" s="538"/>
      <c r="F598" s="148"/>
      <c r="G598" s="149" t="s">
        <v>439</v>
      </c>
    </row>
    <row r="599" spans="2:7" x14ac:dyDescent="0.2">
      <c r="B599" s="539"/>
      <c r="C599" s="540"/>
      <c r="D599" s="540"/>
      <c r="E599" s="540"/>
      <c r="F599" s="150"/>
      <c r="G599" s="151" t="s">
        <v>492</v>
      </c>
    </row>
    <row r="600" spans="2:7" x14ac:dyDescent="0.2">
      <c r="B600" s="152" t="s">
        <v>1</v>
      </c>
      <c r="C600" s="153" t="s">
        <v>2</v>
      </c>
      <c r="D600" s="153" t="s">
        <v>3</v>
      </c>
      <c r="E600" s="153" t="s">
        <v>441</v>
      </c>
      <c r="F600" s="154" t="s">
        <v>442</v>
      </c>
      <c r="G600" s="155" t="s">
        <v>443</v>
      </c>
    </row>
    <row r="601" spans="2:7" x14ac:dyDescent="0.2">
      <c r="B601" s="157"/>
      <c r="C601" s="158"/>
      <c r="D601" s="156"/>
      <c r="E601" s="156"/>
      <c r="F601" s="159"/>
      <c r="G601" s="160"/>
    </row>
    <row r="602" spans="2:7" x14ac:dyDescent="0.2">
      <c r="B602" s="161" t="s">
        <v>444</v>
      </c>
      <c r="C602" s="158"/>
      <c r="D602" s="156"/>
      <c r="E602" s="156"/>
      <c r="F602" s="159"/>
      <c r="G602" s="160"/>
    </row>
    <row r="603" spans="2:7" x14ac:dyDescent="0.2">
      <c r="B603" s="162" t="s">
        <v>485</v>
      </c>
      <c r="C603" s="163" t="s">
        <v>8</v>
      </c>
      <c r="D603" s="164">
        <v>0.36</v>
      </c>
      <c r="E603" s="224">
        <v>14.04</v>
      </c>
      <c r="F603" s="166">
        <v>20209.61</v>
      </c>
      <c r="G603" s="167">
        <v>8311.68</v>
      </c>
    </row>
    <row r="604" spans="2:7" x14ac:dyDescent="0.2">
      <c r="B604" s="184"/>
      <c r="C604" s="185"/>
      <c r="D604" s="170"/>
      <c r="E604" s="170"/>
      <c r="F604" s="222"/>
      <c r="G604" s="188"/>
    </row>
    <row r="605" spans="2:7" x14ac:dyDescent="0.2">
      <c r="B605" s="157"/>
      <c r="C605" s="158"/>
      <c r="D605" s="156"/>
      <c r="E605" s="156"/>
      <c r="F605" s="159" t="s">
        <v>446</v>
      </c>
      <c r="G605" s="183">
        <v>8311.68</v>
      </c>
    </row>
    <row r="606" spans="2:7" x14ac:dyDescent="0.2">
      <c r="B606" s="161" t="s">
        <v>447</v>
      </c>
      <c r="C606" s="158"/>
      <c r="D606" s="156"/>
      <c r="E606" s="156"/>
      <c r="F606" s="159"/>
      <c r="G606" s="160"/>
    </row>
    <row r="607" spans="2:7" x14ac:dyDescent="0.2">
      <c r="B607" s="218" t="s">
        <v>448</v>
      </c>
      <c r="C607" s="219" t="s">
        <v>2</v>
      </c>
      <c r="D607" s="228">
        <v>1.23</v>
      </c>
      <c r="E607" s="229"/>
      <c r="F607" s="220">
        <v>1208.1199999999999</v>
      </c>
      <c r="G607" s="221">
        <v>1483.65</v>
      </c>
    </row>
    <row r="608" spans="2:7" x14ac:dyDescent="0.2">
      <c r="B608" s="180"/>
      <c r="C608" s="185"/>
      <c r="D608" s="181"/>
      <c r="E608" s="186"/>
      <c r="F608" s="222"/>
      <c r="G608" s="230"/>
    </row>
    <row r="609" spans="2:7" x14ac:dyDescent="0.2">
      <c r="B609" s="157"/>
      <c r="C609" s="158"/>
      <c r="D609" s="156"/>
      <c r="E609" s="156"/>
      <c r="F609" s="159" t="s">
        <v>449</v>
      </c>
      <c r="G609" s="183">
        <v>1483.65</v>
      </c>
    </row>
    <row r="610" spans="2:7" x14ac:dyDescent="0.2">
      <c r="B610" s="161" t="s">
        <v>450</v>
      </c>
      <c r="C610" s="158"/>
      <c r="D610" s="156"/>
      <c r="E610" s="156"/>
      <c r="F610" s="159"/>
      <c r="G610" s="160"/>
    </row>
    <row r="611" spans="2:7" x14ac:dyDescent="0.2">
      <c r="B611" s="184" t="s">
        <v>451</v>
      </c>
      <c r="C611" s="185" t="s">
        <v>2</v>
      </c>
      <c r="D611" s="178">
        <v>10328.219999999999</v>
      </c>
      <c r="E611" s="186"/>
      <c r="F611" s="187">
        <v>0.02</v>
      </c>
      <c r="G611" s="188">
        <v>206.56</v>
      </c>
    </row>
    <row r="612" spans="2:7" x14ac:dyDescent="0.2">
      <c r="B612" s="157"/>
      <c r="C612" s="158"/>
      <c r="D612" s="156"/>
      <c r="E612" s="156"/>
      <c r="F612" s="159" t="s">
        <v>452</v>
      </c>
      <c r="G612" s="183">
        <v>206.56</v>
      </c>
    </row>
    <row r="613" spans="2:7" x14ac:dyDescent="0.2">
      <c r="B613" s="161" t="s">
        <v>453</v>
      </c>
      <c r="C613" s="158"/>
      <c r="D613" s="156"/>
      <c r="E613" s="156"/>
      <c r="F613" s="159"/>
      <c r="G613" s="160"/>
    </row>
    <row r="614" spans="2:7" x14ac:dyDescent="0.2">
      <c r="B614" s="189" t="s">
        <v>454</v>
      </c>
      <c r="C614" s="190" t="s">
        <v>2</v>
      </c>
      <c r="D614" s="231">
        <v>4.0000000000000001E-3</v>
      </c>
      <c r="E614" s="232"/>
      <c r="F614" s="193">
        <v>121500</v>
      </c>
      <c r="G614" s="194">
        <v>532.89</v>
      </c>
    </row>
    <row r="615" spans="2:7" x14ac:dyDescent="0.2">
      <c r="B615" s="239" t="s">
        <v>455</v>
      </c>
      <c r="C615" s="240" t="s">
        <v>456</v>
      </c>
      <c r="D615" s="241">
        <v>10328.219999999999</v>
      </c>
      <c r="E615" s="242"/>
      <c r="F615" s="243"/>
      <c r="G615" s="199" t="s">
        <v>457</v>
      </c>
    </row>
    <row r="616" spans="2:7" x14ac:dyDescent="0.2">
      <c r="B616" s="200" t="s">
        <v>458</v>
      </c>
      <c r="C616" s="169" t="s">
        <v>456</v>
      </c>
      <c r="D616" s="178">
        <v>10328.219999999999</v>
      </c>
      <c r="E616" s="170"/>
      <c r="F616" s="238"/>
      <c r="G616" s="204" t="s">
        <v>457</v>
      </c>
    </row>
    <row r="617" spans="2:7" x14ac:dyDescent="0.2">
      <c r="B617" s="180"/>
      <c r="C617" s="169"/>
      <c r="D617" s="205"/>
      <c r="E617" s="170"/>
      <c r="F617" s="171"/>
      <c r="G617" s="230"/>
    </row>
    <row r="618" spans="2:7" x14ac:dyDescent="0.2">
      <c r="B618" s="157"/>
      <c r="C618" s="158"/>
      <c r="D618" s="156"/>
      <c r="E618" s="156"/>
      <c r="F618" s="159" t="s">
        <v>459</v>
      </c>
      <c r="G618" s="183">
        <v>532.89</v>
      </c>
    </row>
    <row r="619" spans="2:7" x14ac:dyDescent="0.2">
      <c r="B619" s="157"/>
      <c r="C619" s="158"/>
      <c r="D619" s="156"/>
      <c r="E619" s="156"/>
      <c r="F619" s="159"/>
      <c r="G619" s="160"/>
    </row>
    <row r="620" spans="2:7" ht="17" thickBot="1" x14ac:dyDescent="0.25">
      <c r="B620" s="206"/>
      <c r="C620" s="207"/>
      <c r="D620" s="208"/>
      <c r="E620" s="209" t="s">
        <v>460</v>
      </c>
      <c r="F620" s="210">
        <v>126140.82</v>
      </c>
      <c r="G620" s="211">
        <v>10535</v>
      </c>
    </row>
    <row r="621" spans="2:7" ht="17" thickTop="1" x14ac:dyDescent="0.2">
      <c r="B621" s="212"/>
      <c r="C621" s="213"/>
      <c r="D621" s="212"/>
      <c r="E621" s="212"/>
      <c r="F621" s="212"/>
      <c r="G621" s="212"/>
    </row>
    <row r="622" spans="2:7" x14ac:dyDescent="0.2">
      <c r="B622" s="212"/>
      <c r="C622" s="213"/>
      <c r="D622" s="212"/>
      <c r="E622" s="212"/>
      <c r="F622" s="212"/>
      <c r="G622" s="212"/>
    </row>
    <row r="623" spans="2:7" ht="17" thickBot="1" x14ac:dyDescent="0.25">
      <c r="B623" s="212"/>
      <c r="C623" s="213"/>
      <c r="D623" s="212"/>
      <c r="E623" s="212"/>
      <c r="F623" s="212"/>
      <c r="G623" s="212"/>
    </row>
    <row r="624" spans="2:7" ht="17" thickTop="1" x14ac:dyDescent="0.2">
      <c r="B624" s="537" t="s">
        <v>38</v>
      </c>
      <c r="C624" s="538"/>
      <c r="D624" s="538"/>
      <c r="E624" s="538"/>
      <c r="F624" s="148"/>
      <c r="G624" s="149" t="s">
        <v>439</v>
      </c>
    </row>
    <row r="625" spans="2:7" x14ac:dyDescent="0.2">
      <c r="B625" s="539"/>
      <c r="C625" s="540"/>
      <c r="D625" s="540"/>
      <c r="E625" s="540"/>
      <c r="F625" s="150"/>
      <c r="G625" s="151" t="s">
        <v>493</v>
      </c>
    </row>
    <row r="626" spans="2:7" x14ac:dyDescent="0.2">
      <c r="B626" s="152" t="s">
        <v>1</v>
      </c>
      <c r="C626" s="153" t="s">
        <v>2</v>
      </c>
      <c r="D626" s="153" t="s">
        <v>3</v>
      </c>
      <c r="E626" s="153" t="s">
        <v>441</v>
      </c>
      <c r="F626" s="154" t="s">
        <v>442</v>
      </c>
      <c r="G626" s="155" t="s">
        <v>443</v>
      </c>
    </row>
    <row r="627" spans="2:7" x14ac:dyDescent="0.2">
      <c r="B627" s="157"/>
      <c r="C627" s="158"/>
      <c r="D627" s="156"/>
      <c r="E627" s="156"/>
      <c r="F627" s="159"/>
      <c r="G627" s="160"/>
    </row>
    <row r="628" spans="2:7" x14ac:dyDescent="0.2">
      <c r="B628" s="161" t="s">
        <v>444</v>
      </c>
      <c r="C628" s="158"/>
      <c r="D628" s="156"/>
      <c r="E628" s="156"/>
      <c r="F628" s="159"/>
      <c r="G628" s="160"/>
    </row>
    <row r="629" spans="2:7" x14ac:dyDescent="0.2">
      <c r="B629" s="174" t="s">
        <v>445</v>
      </c>
      <c r="C629" s="175" t="s">
        <v>2</v>
      </c>
      <c r="D629" s="244">
        <v>0.33</v>
      </c>
      <c r="E629" s="224">
        <v>7.02</v>
      </c>
      <c r="F629" s="214">
        <v>174928.81</v>
      </c>
      <c r="G629" s="179">
        <v>61378.52</v>
      </c>
    </row>
    <row r="630" spans="2:7" x14ac:dyDescent="0.2">
      <c r="B630" s="195"/>
      <c r="C630" s="233"/>
      <c r="D630" s="226"/>
      <c r="E630" s="226"/>
      <c r="F630" s="245"/>
      <c r="G630" s="199"/>
    </row>
    <row r="631" spans="2:7" x14ac:dyDescent="0.2">
      <c r="B631" s="157"/>
      <c r="C631" s="158"/>
      <c r="D631" s="156"/>
      <c r="E631" s="156"/>
      <c r="F631" s="159" t="s">
        <v>446</v>
      </c>
      <c r="G631" s="183">
        <v>61378.52</v>
      </c>
    </row>
    <row r="632" spans="2:7" x14ac:dyDescent="0.2">
      <c r="B632" s="161" t="s">
        <v>447</v>
      </c>
      <c r="C632" s="158"/>
      <c r="D632" s="156"/>
      <c r="E632" s="156"/>
      <c r="F632" s="159"/>
      <c r="G632" s="160"/>
    </row>
    <row r="633" spans="2:7" x14ac:dyDescent="0.2">
      <c r="B633" s="218" t="s">
        <v>448</v>
      </c>
      <c r="C633" s="219" t="s">
        <v>2</v>
      </c>
      <c r="D633" s="228">
        <v>6.32</v>
      </c>
      <c r="E633" s="229"/>
      <c r="F633" s="220">
        <v>1208.1199999999999</v>
      </c>
      <c r="G633" s="221">
        <v>7630.23</v>
      </c>
    </row>
    <row r="634" spans="2:7" x14ac:dyDescent="0.2">
      <c r="B634" s="180"/>
      <c r="C634" s="185"/>
      <c r="D634" s="181"/>
      <c r="E634" s="186"/>
      <c r="F634" s="222"/>
      <c r="G634" s="230"/>
    </row>
    <row r="635" spans="2:7" x14ac:dyDescent="0.2">
      <c r="B635" s="157"/>
      <c r="C635" s="158"/>
      <c r="D635" s="156"/>
      <c r="E635" s="156"/>
      <c r="F635" s="159" t="s">
        <v>449</v>
      </c>
      <c r="G635" s="183">
        <v>7630.23</v>
      </c>
    </row>
    <row r="636" spans="2:7" x14ac:dyDescent="0.2">
      <c r="B636" s="161" t="s">
        <v>450</v>
      </c>
      <c r="C636" s="158"/>
      <c r="D636" s="156"/>
      <c r="E636" s="156"/>
      <c r="F636" s="159"/>
      <c r="G636" s="160"/>
    </row>
    <row r="637" spans="2:7" x14ac:dyDescent="0.2">
      <c r="B637" s="184" t="s">
        <v>451</v>
      </c>
      <c r="C637" s="185" t="s">
        <v>2</v>
      </c>
      <c r="D637" s="178">
        <v>74124.53</v>
      </c>
      <c r="E637" s="186"/>
      <c r="F637" s="187">
        <v>0.02</v>
      </c>
      <c r="G637" s="188">
        <v>1482.49</v>
      </c>
    </row>
    <row r="638" spans="2:7" x14ac:dyDescent="0.2">
      <c r="B638" s="157"/>
      <c r="C638" s="158"/>
      <c r="D638" s="156"/>
      <c r="E638" s="156"/>
      <c r="F638" s="159" t="s">
        <v>452</v>
      </c>
      <c r="G638" s="183">
        <v>1482.49</v>
      </c>
    </row>
    <row r="639" spans="2:7" x14ac:dyDescent="0.2">
      <c r="B639" s="161" t="s">
        <v>453</v>
      </c>
      <c r="C639" s="158"/>
      <c r="D639" s="156"/>
      <c r="E639" s="156"/>
      <c r="F639" s="159"/>
      <c r="G639" s="160"/>
    </row>
    <row r="640" spans="2:7" x14ac:dyDescent="0.2">
      <c r="B640" s="189" t="s">
        <v>454</v>
      </c>
      <c r="C640" s="190" t="s">
        <v>2</v>
      </c>
      <c r="D640" s="231">
        <v>4.2000000000000003E-2</v>
      </c>
      <c r="E640" s="232"/>
      <c r="F640" s="193">
        <v>121500</v>
      </c>
      <c r="G640" s="194">
        <v>5115.78</v>
      </c>
    </row>
    <row r="641" spans="2:7" x14ac:dyDescent="0.2">
      <c r="B641" s="195" t="s">
        <v>455</v>
      </c>
      <c r="C641" s="233" t="s">
        <v>456</v>
      </c>
      <c r="D641" s="234">
        <v>74124.53</v>
      </c>
      <c r="E641" s="226"/>
      <c r="F641" s="235"/>
      <c r="G641" s="199" t="s">
        <v>457</v>
      </c>
    </row>
    <row r="642" spans="2:7" x14ac:dyDescent="0.2">
      <c r="B642" s="200" t="s">
        <v>458</v>
      </c>
      <c r="C642" s="169" t="s">
        <v>456</v>
      </c>
      <c r="D642" s="178">
        <v>74124.53</v>
      </c>
      <c r="E642" s="170"/>
      <c r="F642" s="238"/>
      <c r="G642" s="204" t="s">
        <v>457</v>
      </c>
    </row>
    <row r="643" spans="2:7" x14ac:dyDescent="0.2">
      <c r="B643" s="180"/>
      <c r="C643" s="169"/>
      <c r="D643" s="205"/>
      <c r="E643" s="170"/>
      <c r="F643" s="171"/>
      <c r="G643" s="230"/>
    </row>
    <row r="644" spans="2:7" x14ac:dyDescent="0.2">
      <c r="B644" s="157"/>
      <c r="C644" s="158"/>
      <c r="D644" s="156"/>
      <c r="E644" s="156"/>
      <c r="F644" s="159" t="s">
        <v>459</v>
      </c>
      <c r="G644" s="183">
        <v>5115.78</v>
      </c>
    </row>
    <row r="645" spans="2:7" x14ac:dyDescent="0.2">
      <c r="B645" s="157"/>
      <c r="C645" s="158"/>
      <c r="D645" s="156"/>
      <c r="E645" s="156"/>
      <c r="F645" s="159"/>
      <c r="G645" s="160"/>
    </row>
    <row r="646" spans="2:7" ht="17" thickBot="1" x14ac:dyDescent="0.25">
      <c r="B646" s="206"/>
      <c r="C646" s="207"/>
      <c r="D646" s="208"/>
      <c r="E646" s="209" t="s">
        <v>460</v>
      </c>
      <c r="F646" s="210" t="e">
        <v>#REF!</v>
      </c>
      <c r="G646" s="211">
        <v>75607</v>
      </c>
    </row>
    <row r="647" spans="2:7" ht="17" thickTop="1" x14ac:dyDescent="0.2">
      <c r="B647" s="212"/>
      <c r="C647" s="213"/>
      <c r="D647" s="212"/>
      <c r="E647" s="212"/>
      <c r="F647" s="212"/>
      <c r="G647" s="212"/>
    </row>
    <row r="648" spans="2:7" x14ac:dyDescent="0.2">
      <c r="B648" s="212"/>
      <c r="C648" s="213"/>
      <c r="D648" s="212"/>
      <c r="E648" s="212"/>
      <c r="F648" s="212"/>
      <c r="G648" s="212"/>
    </row>
    <row r="649" spans="2:7" ht="17" thickBot="1" x14ac:dyDescent="0.25">
      <c r="B649" s="212"/>
      <c r="C649" s="213"/>
      <c r="D649" s="212"/>
      <c r="E649" s="212"/>
      <c r="F649" s="212"/>
      <c r="G649" s="212"/>
    </row>
    <row r="650" spans="2:7" ht="17" thickTop="1" x14ac:dyDescent="0.2">
      <c r="B650" s="537" t="s">
        <v>39</v>
      </c>
      <c r="C650" s="538"/>
      <c r="D650" s="538"/>
      <c r="E650" s="538"/>
      <c r="F650" s="148"/>
      <c r="G650" s="149" t="s">
        <v>439</v>
      </c>
    </row>
    <row r="651" spans="2:7" x14ac:dyDescent="0.2">
      <c r="B651" s="539"/>
      <c r="C651" s="540"/>
      <c r="D651" s="540"/>
      <c r="E651" s="540"/>
      <c r="F651" s="150"/>
      <c r="G651" s="151" t="s">
        <v>494</v>
      </c>
    </row>
    <row r="652" spans="2:7" x14ac:dyDescent="0.2">
      <c r="B652" s="152" t="s">
        <v>1</v>
      </c>
      <c r="C652" s="153" t="s">
        <v>2</v>
      </c>
      <c r="D652" s="153" t="s">
        <v>3</v>
      </c>
      <c r="E652" s="153" t="s">
        <v>441</v>
      </c>
      <c r="F652" s="154" t="s">
        <v>442</v>
      </c>
      <c r="G652" s="155" t="s">
        <v>443</v>
      </c>
    </row>
    <row r="653" spans="2:7" x14ac:dyDescent="0.2">
      <c r="B653" s="157"/>
      <c r="C653" s="158"/>
      <c r="D653" s="156"/>
      <c r="E653" s="156"/>
      <c r="F653" s="159"/>
      <c r="G653" s="160"/>
    </row>
    <row r="654" spans="2:7" x14ac:dyDescent="0.2">
      <c r="B654" s="161" t="s">
        <v>444</v>
      </c>
      <c r="C654" s="158"/>
      <c r="D654" s="156"/>
      <c r="E654" s="156"/>
      <c r="F654" s="159"/>
      <c r="G654" s="160"/>
    </row>
    <row r="655" spans="2:7" x14ac:dyDescent="0.2">
      <c r="B655" s="174" t="s">
        <v>445</v>
      </c>
      <c r="C655" s="175" t="s">
        <v>2</v>
      </c>
      <c r="D655" s="244">
        <v>0.27</v>
      </c>
      <c r="E655" s="224">
        <v>7.02</v>
      </c>
      <c r="F655" s="214">
        <v>174928.81</v>
      </c>
      <c r="G655" s="179">
        <v>50813.37</v>
      </c>
    </row>
    <row r="656" spans="2:7" x14ac:dyDescent="0.2">
      <c r="B656" s="195"/>
      <c r="C656" s="233"/>
      <c r="D656" s="226"/>
      <c r="E656" s="226"/>
      <c r="F656" s="245"/>
      <c r="G656" s="199"/>
    </row>
    <row r="657" spans="2:7" x14ac:dyDescent="0.2">
      <c r="B657" s="157"/>
      <c r="C657" s="158"/>
      <c r="D657" s="156"/>
      <c r="E657" s="156"/>
      <c r="F657" s="159" t="s">
        <v>446</v>
      </c>
      <c r="G657" s="183">
        <v>50813.37</v>
      </c>
    </row>
    <row r="658" spans="2:7" x14ac:dyDescent="0.2">
      <c r="B658" s="161" t="s">
        <v>447</v>
      </c>
      <c r="C658" s="158"/>
      <c r="D658" s="156"/>
      <c r="E658" s="156"/>
      <c r="F658" s="159"/>
      <c r="G658" s="160"/>
    </row>
    <row r="659" spans="2:7" x14ac:dyDescent="0.2">
      <c r="B659" s="218" t="s">
        <v>448</v>
      </c>
      <c r="C659" s="219" t="s">
        <v>2</v>
      </c>
      <c r="D659" s="228">
        <v>6.32</v>
      </c>
      <c r="E659" s="229"/>
      <c r="F659" s="220">
        <v>1208.1199999999999</v>
      </c>
      <c r="G659" s="221">
        <v>7630.23</v>
      </c>
    </row>
    <row r="660" spans="2:7" x14ac:dyDescent="0.2">
      <c r="B660" s="180"/>
      <c r="C660" s="185"/>
      <c r="D660" s="181"/>
      <c r="E660" s="186"/>
      <c r="F660" s="222"/>
      <c r="G660" s="230"/>
    </row>
    <row r="661" spans="2:7" x14ac:dyDescent="0.2">
      <c r="B661" s="157"/>
      <c r="C661" s="158"/>
      <c r="D661" s="156"/>
      <c r="E661" s="156"/>
      <c r="F661" s="159" t="s">
        <v>449</v>
      </c>
      <c r="G661" s="183">
        <v>7630.23</v>
      </c>
    </row>
    <row r="662" spans="2:7" x14ac:dyDescent="0.2">
      <c r="B662" s="161" t="s">
        <v>450</v>
      </c>
      <c r="C662" s="158"/>
      <c r="D662" s="156"/>
      <c r="E662" s="156"/>
      <c r="F662" s="159"/>
      <c r="G662" s="160"/>
    </row>
    <row r="663" spans="2:7" x14ac:dyDescent="0.2">
      <c r="B663" s="184" t="s">
        <v>451</v>
      </c>
      <c r="C663" s="185" t="s">
        <v>2</v>
      </c>
      <c r="D663" s="178">
        <v>63559.38</v>
      </c>
      <c r="E663" s="186"/>
      <c r="F663" s="187">
        <v>0.02</v>
      </c>
      <c r="G663" s="188">
        <v>1271.18</v>
      </c>
    </row>
    <row r="664" spans="2:7" x14ac:dyDescent="0.2">
      <c r="B664" s="157"/>
      <c r="C664" s="158"/>
      <c r="D664" s="156"/>
      <c r="E664" s="156"/>
      <c r="F664" s="159" t="s">
        <v>452</v>
      </c>
      <c r="G664" s="183">
        <v>1271.18</v>
      </c>
    </row>
    <row r="665" spans="2:7" x14ac:dyDescent="0.2">
      <c r="B665" s="161" t="s">
        <v>453</v>
      </c>
      <c r="C665" s="158"/>
      <c r="D665" s="156"/>
      <c r="E665" s="156"/>
      <c r="F665" s="159"/>
      <c r="G665" s="160"/>
    </row>
    <row r="666" spans="2:7" x14ac:dyDescent="0.2">
      <c r="B666" s="189" t="s">
        <v>454</v>
      </c>
      <c r="C666" s="190" t="s">
        <v>2</v>
      </c>
      <c r="D666" s="231">
        <v>4.2000000000000003E-2</v>
      </c>
      <c r="E666" s="232"/>
      <c r="F666" s="193">
        <v>121500</v>
      </c>
      <c r="G666" s="194">
        <v>5115.78</v>
      </c>
    </row>
    <row r="667" spans="2:7" x14ac:dyDescent="0.2">
      <c r="B667" s="195" t="s">
        <v>455</v>
      </c>
      <c r="C667" s="233" t="s">
        <v>456</v>
      </c>
      <c r="D667" s="234">
        <v>63559.38</v>
      </c>
      <c r="E667" s="226"/>
      <c r="F667" s="235"/>
      <c r="G667" s="199" t="s">
        <v>457</v>
      </c>
    </row>
    <row r="668" spans="2:7" x14ac:dyDescent="0.2">
      <c r="B668" s="200" t="s">
        <v>458</v>
      </c>
      <c r="C668" s="169" t="s">
        <v>456</v>
      </c>
      <c r="D668" s="178">
        <v>63559.38</v>
      </c>
      <c r="E668" s="170"/>
      <c r="F668" s="238"/>
      <c r="G668" s="204" t="s">
        <v>457</v>
      </c>
    </row>
    <row r="669" spans="2:7" x14ac:dyDescent="0.2">
      <c r="B669" s="180"/>
      <c r="C669" s="169"/>
      <c r="D669" s="205"/>
      <c r="E669" s="170"/>
      <c r="F669" s="171"/>
      <c r="G669" s="230"/>
    </row>
    <row r="670" spans="2:7" x14ac:dyDescent="0.2">
      <c r="B670" s="157"/>
      <c r="C670" s="158"/>
      <c r="D670" s="156"/>
      <c r="E670" s="156"/>
      <c r="F670" s="159" t="s">
        <v>459</v>
      </c>
      <c r="G670" s="183">
        <v>5115.78</v>
      </c>
    </row>
    <row r="671" spans="2:7" x14ac:dyDescent="0.2">
      <c r="B671" s="157"/>
      <c r="C671" s="158"/>
      <c r="D671" s="156"/>
      <c r="E671" s="156"/>
      <c r="F671" s="159"/>
      <c r="G671" s="160"/>
    </row>
    <row r="672" spans="2:7" ht="17" thickBot="1" x14ac:dyDescent="0.25">
      <c r="B672" s="206"/>
      <c r="C672" s="207"/>
      <c r="D672" s="208"/>
      <c r="E672" s="209" t="s">
        <v>460</v>
      </c>
      <c r="F672" s="210" t="e">
        <v>#REF!</v>
      </c>
      <c r="G672" s="211">
        <v>64831</v>
      </c>
    </row>
    <row r="673" spans="2:7" ht="17" thickTop="1" x14ac:dyDescent="0.2">
      <c r="B673" s="212"/>
      <c r="C673" s="213"/>
      <c r="D673" s="212"/>
      <c r="E673" s="212"/>
      <c r="F673" s="212"/>
      <c r="G673" s="212"/>
    </row>
    <row r="674" spans="2:7" ht="17" thickBot="1" x14ac:dyDescent="0.25">
      <c r="B674" s="212"/>
      <c r="C674" s="213"/>
      <c r="D674" s="212"/>
      <c r="E674" s="212"/>
      <c r="F674" s="212"/>
      <c r="G674" s="212"/>
    </row>
    <row r="675" spans="2:7" ht="17" thickTop="1" x14ac:dyDescent="0.2">
      <c r="B675" s="537" t="s">
        <v>40</v>
      </c>
      <c r="C675" s="538"/>
      <c r="D675" s="538"/>
      <c r="E675" s="538"/>
      <c r="F675" s="148"/>
      <c r="G675" s="149" t="s">
        <v>439</v>
      </c>
    </row>
    <row r="676" spans="2:7" x14ac:dyDescent="0.2">
      <c r="B676" s="539"/>
      <c r="C676" s="540"/>
      <c r="D676" s="540"/>
      <c r="E676" s="540"/>
      <c r="F676" s="150"/>
      <c r="G676" s="151" t="s">
        <v>495</v>
      </c>
    </row>
    <row r="677" spans="2:7" x14ac:dyDescent="0.2">
      <c r="B677" s="152" t="s">
        <v>1</v>
      </c>
      <c r="C677" s="153" t="s">
        <v>2</v>
      </c>
      <c r="D677" s="153" t="s">
        <v>3</v>
      </c>
      <c r="E677" s="153" t="s">
        <v>441</v>
      </c>
      <c r="F677" s="154" t="s">
        <v>442</v>
      </c>
      <c r="G677" s="155" t="s">
        <v>443</v>
      </c>
    </row>
    <row r="678" spans="2:7" x14ac:dyDescent="0.2">
      <c r="B678" s="157"/>
      <c r="C678" s="158"/>
      <c r="D678" s="156"/>
      <c r="E678" s="156"/>
      <c r="F678" s="159"/>
      <c r="G678" s="160"/>
    </row>
    <row r="679" spans="2:7" x14ac:dyDescent="0.2">
      <c r="B679" s="161" t="s">
        <v>444</v>
      </c>
      <c r="C679" s="158"/>
      <c r="D679" s="156"/>
      <c r="E679" s="156"/>
      <c r="F679" s="159"/>
      <c r="G679" s="160"/>
    </row>
    <row r="680" spans="2:7" x14ac:dyDescent="0.2">
      <c r="B680" s="174" t="s">
        <v>445</v>
      </c>
      <c r="C680" s="175" t="s">
        <v>2</v>
      </c>
      <c r="D680" s="244">
        <v>0.22</v>
      </c>
      <c r="E680" s="224">
        <v>7.02</v>
      </c>
      <c r="F680" s="214">
        <v>174928.81</v>
      </c>
      <c r="G680" s="179">
        <v>41254.42</v>
      </c>
    </row>
    <row r="681" spans="2:7" x14ac:dyDescent="0.2">
      <c r="B681" s="195"/>
      <c r="C681" s="233"/>
      <c r="D681" s="226"/>
      <c r="E681" s="226"/>
      <c r="F681" s="245"/>
      <c r="G681" s="199"/>
    </row>
    <row r="682" spans="2:7" x14ac:dyDescent="0.2">
      <c r="B682" s="157"/>
      <c r="C682" s="158"/>
      <c r="D682" s="156"/>
      <c r="E682" s="156"/>
      <c r="F682" s="159" t="s">
        <v>446</v>
      </c>
      <c r="G682" s="183">
        <v>41254.42</v>
      </c>
    </row>
    <row r="683" spans="2:7" x14ac:dyDescent="0.2">
      <c r="B683" s="161" t="s">
        <v>447</v>
      </c>
      <c r="C683" s="158"/>
      <c r="D683" s="156"/>
      <c r="E683" s="156"/>
      <c r="F683" s="159"/>
      <c r="G683" s="160"/>
    </row>
    <row r="684" spans="2:7" x14ac:dyDescent="0.2">
      <c r="B684" s="218" t="s">
        <v>448</v>
      </c>
      <c r="C684" s="219" t="s">
        <v>2</v>
      </c>
      <c r="D684" s="228">
        <v>6.32</v>
      </c>
      <c r="E684" s="229"/>
      <c r="F684" s="220">
        <v>1208.1199999999999</v>
      </c>
      <c r="G684" s="221">
        <v>7630.23</v>
      </c>
    </row>
    <row r="685" spans="2:7" x14ac:dyDescent="0.2">
      <c r="B685" s="180"/>
      <c r="C685" s="185"/>
      <c r="D685" s="181"/>
      <c r="E685" s="186"/>
      <c r="F685" s="222"/>
      <c r="G685" s="230"/>
    </row>
    <row r="686" spans="2:7" x14ac:dyDescent="0.2">
      <c r="B686" s="157"/>
      <c r="C686" s="158"/>
      <c r="D686" s="156"/>
      <c r="E686" s="156"/>
      <c r="F686" s="159" t="s">
        <v>449</v>
      </c>
      <c r="G686" s="183">
        <v>7630.23</v>
      </c>
    </row>
    <row r="687" spans="2:7" x14ac:dyDescent="0.2">
      <c r="B687" s="161" t="s">
        <v>450</v>
      </c>
      <c r="C687" s="158"/>
      <c r="D687" s="156"/>
      <c r="E687" s="156"/>
      <c r="F687" s="159"/>
      <c r="G687" s="160"/>
    </row>
    <row r="688" spans="2:7" x14ac:dyDescent="0.2">
      <c r="B688" s="184" t="s">
        <v>451</v>
      </c>
      <c r="C688" s="185" t="s">
        <v>2</v>
      </c>
      <c r="D688" s="178">
        <v>54000.43</v>
      </c>
      <c r="E688" s="186"/>
      <c r="F688" s="187">
        <v>0.02</v>
      </c>
      <c r="G688" s="188">
        <v>1080</v>
      </c>
    </row>
    <row r="689" spans="2:7" x14ac:dyDescent="0.2">
      <c r="B689" s="157"/>
      <c r="C689" s="158"/>
      <c r="D689" s="156"/>
      <c r="E689" s="156"/>
      <c r="F689" s="159" t="s">
        <v>452</v>
      </c>
      <c r="G689" s="183">
        <v>1080</v>
      </c>
    </row>
    <row r="690" spans="2:7" x14ac:dyDescent="0.2">
      <c r="B690" s="161" t="s">
        <v>453</v>
      </c>
      <c r="C690" s="158"/>
      <c r="D690" s="156"/>
      <c r="E690" s="156"/>
      <c r="F690" s="159"/>
      <c r="G690" s="160"/>
    </row>
    <row r="691" spans="2:7" x14ac:dyDescent="0.2">
      <c r="B691" s="189" t="s">
        <v>454</v>
      </c>
      <c r="C691" s="190" t="s">
        <v>2</v>
      </c>
      <c r="D691" s="231">
        <v>4.2000000000000003E-2</v>
      </c>
      <c r="E691" s="232"/>
      <c r="F691" s="193">
        <v>121500</v>
      </c>
      <c r="G691" s="194">
        <v>5115.78</v>
      </c>
    </row>
    <row r="692" spans="2:7" x14ac:dyDescent="0.2">
      <c r="B692" s="195" t="s">
        <v>455</v>
      </c>
      <c r="C692" s="233" t="s">
        <v>456</v>
      </c>
      <c r="D692" s="234">
        <v>54000.43</v>
      </c>
      <c r="E692" s="226"/>
      <c r="F692" s="235"/>
      <c r="G692" s="199" t="s">
        <v>457</v>
      </c>
    </row>
    <row r="693" spans="2:7" x14ac:dyDescent="0.2">
      <c r="B693" s="200" t="s">
        <v>458</v>
      </c>
      <c r="C693" s="169" t="s">
        <v>456</v>
      </c>
      <c r="D693" s="178">
        <v>54000.43</v>
      </c>
      <c r="E693" s="170"/>
      <c r="F693" s="238"/>
      <c r="G693" s="204" t="s">
        <v>457</v>
      </c>
    </row>
    <row r="694" spans="2:7" x14ac:dyDescent="0.2">
      <c r="B694" s="180"/>
      <c r="C694" s="169"/>
      <c r="D694" s="205"/>
      <c r="E694" s="170"/>
      <c r="F694" s="171"/>
      <c r="G694" s="230"/>
    </row>
    <row r="695" spans="2:7" x14ac:dyDescent="0.2">
      <c r="B695" s="157"/>
      <c r="C695" s="158"/>
      <c r="D695" s="156"/>
      <c r="E695" s="156"/>
      <c r="F695" s="159" t="s">
        <v>459</v>
      </c>
      <c r="G695" s="183">
        <v>5115.78</v>
      </c>
    </row>
    <row r="696" spans="2:7" x14ac:dyDescent="0.2">
      <c r="B696" s="157"/>
      <c r="C696" s="158"/>
      <c r="D696" s="156"/>
      <c r="E696" s="156"/>
      <c r="F696" s="159"/>
      <c r="G696" s="160"/>
    </row>
    <row r="697" spans="2:7" ht="17" thickBot="1" x14ac:dyDescent="0.25">
      <c r="B697" s="206"/>
      <c r="C697" s="207"/>
      <c r="D697" s="208"/>
      <c r="E697" s="209" t="s">
        <v>460</v>
      </c>
      <c r="F697" s="210">
        <v>17700.68</v>
      </c>
      <c r="G697" s="211">
        <v>55080</v>
      </c>
    </row>
    <row r="698" spans="2:7" ht="17" thickTop="1" x14ac:dyDescent="0.2">
      <c r="B698" s="212"/>
      <c r="C698" s="213"/>
      <c r="D698" s="212"/>
      <c r="E698" s="212"/>
      <c r="F698" s="212"/>
      <c r="G698" s="212"/>
    </row>
    <row r="699" spans="2:7" ht="17" thickBot="1" x14ac:dyDescent="0.25">
      <c r="B699" s="212"/>
      <c r="C699" s="213"/>
      <c r="D699" s="212"/>
      <c r="E699" s="212"/>
      <c r="F699" s="212"/>
      <c r="G699" s="212"/>
    </row>
    <row r="700" spans="2:7" ht="17" thickTop="1" x14ac:dyDescent="0.2">
      <c r="B700" s="537" t="s">
        <v>41</v>
      </c>
      <c r="C700" s="538"/>
      <c r="D700" s="538"/>
      <c r="E700" s="538"/>
      <c r="F700" s="148"/>
      <c r="G700" s="149" t="s">
        <v>439</v>
      </c>
    </row>
    <row r="701" spans="2:7" x14ac:dyDescent="0.2">
      <c r="B701" s="539"/>
      <c r="C701" s="540"/>
      <c r="D701" s="540"/>
      <c r="E701" s="540"/>
      <c r="F701" s="150"/>
      <c r="G701" s="151" t="s">
        <v>496</v>
      </c>
    </row>
    <row r="702" spans="2:7" x14ac:dyDescent="0.2">
      <c r="B702" s="152" t="s">
        <v>1</v>
      </c>
      <c r="C702" s="153" t="s">
        <v>2</v>
      </c>
      <c r="D702" s="153" t="s">
        <v>3</v>
      </c>
      <c r="E702" s="153" t="s">
        <v>441</v>
      </c>
      <c r="F702" s="154" t="s">
        <v>442</v>
      </c>
      <c r="G702" s="155" t="s">
        <v>443</v>
      </c>
    </row>
    <row r="703" spans="2:7" x14ac:dyDescent="0.2">
      <c r="B703" s="157"/>
      <c r="C703" s="158"/>
      <c r="D703" s="156"/>
      <c r="E703" s="156"/>
      <c r="F703" s="159"/>
      <c r="G703" s="160"/>
    </row>
    <row r="704" spans="2:7" x14ac:dyDescent="0.2">
      <c r="B704" s="161" t="s">
        <v>444</v>
      </c>
      <c r="C704" s="158"/>
      <c r="D704" s="156"/>
      <c r="E704" s="156"/>
      <c r="F704" s="159"/>
      <c r="G704" s="160"/>
    </row>
    <row r="705" spans="2:7" x14ac:dyDescent="0.2">
      <c r="B705" s="174" t="s">
        <v>445</v>
      </c>
      <c r="C705" s="175" t="s">
        <v>2</v>
      </c>
      <c r="D705" s="244">
        <v>0.16</v>
      </c>
      <c r="E705" s="224">
        <v>7.02</v>
      </c>
      <c r="F705" s="214">
        <v>174928.81</v>
      </c>
      <c r="G705" s="179">
        <v>30689.26</v>
      </c>
    </row>
    <row r="706" spans="2:7" x14ac:dyDescent="0.2">
      <c r="B706" s="200"/>
      <c r="C706" s="169"/>
      <c r="D706" s="170"/>
      <c r="E706" s="170"/>
      <c r="F706" s="171"/>
      <c r="G706" s="204"/>
    </row>
    <row r="707" spans="2:7" x14ac:dyDescent="0.2">
      <c r="B707" s="157"/>
      <c r="C707" s="158"/>
      <c r="D707" s="156"/>
      <c r="E707" s="156"/>
      <c r="F707" s="159" t="s">
        <v>446</v>
      </c>
      <c r="G707" s="183">
        <v>30689.26</v>
      </c>
    </row>
    <row r="708" spans="2:7" x14ac:dyDescent="0.2">
      <c r="B708" s="161" t="s">
        <v>447</v>
      </c>
      <c r="C708" s="158"/>
      <c r="D708" s="156"/>
      <c r="E708" s="156"/>
      <c r="F708" s="159"/>
      <c r="G708" s="160"/>
    </row>
    <row r="709" spans="2:7" x14ac:dyDescent="0.2">
      <c r="B709" s="218" t="s">
        <v>448</v>
      </c>
      <c r="C709" s="219" t="s">
        <v>2</v>
      </c>
      <c r="D709" s="228">
        <v>4.21</v>
      </c>
      <c r="E709" s="229"/>
      <c r="F709" s="220">
        <v>1208.1199999999999</v>
      </c>
      <c r="G709" s="221">
        <v>5086.82</v>
      </c>
    </row>
    <row r="710" spans="2:7" x14ac:dyDescent="0.2">
      <c r="B710" s="180"/>
      <c r="C710" s="185"/>
      <c r="D710" s="181"/>
      <c r="E710" s="186"/>
      <c r="F710" s="222"/>
      <c r="G710" s="230"/>
    </row>
    <row r="711" spans="2:7" x14ac:dyDescent="0.2">
      <c r="B711" s="157"/>
      <c r="C711" s="158"/>
      <c r="D711" s="156"/>
      <c r="E711" s="156"/>
      <c r="F711" s="159" t="s">
        <v>449</v>
      </c>
      <c r="G711" s="183">
        <v>5086.82</v>
      </c>
    </row>
    <row r="712" spans="2:7" x14ac:dyDescent="0.2">
      <c r="B712" s="161" t="s">
        <v>450</v>
      </c>
      <c r="C712" s="158"/>
      <c r="D712" s="156"/>
      <c r="E712" s="156"/>
      <c r="F712" s="159"/>
      <c r="G712" s="160"/>
    </row>
    <row r="713" spans="2:7" x14ac:dyDescent="0.2">
      <c r="B713" s="184" t="s">
        <v>451</v>
      </c>
      <c r="C713" s="185" t="s">
        <v>2</v>
      </c>
      <c r="D713" s="178">
        <v>36628.71</v>
      </c>
      <c r="E713" s="186"/>
      <c r="F713" s="187">
        <v>0.02</v>
      </c>
      <c r="G713" s="188">
        <v>732.57</v>
      </c>
    </row>
    <row r="714" spans="2:7" x14ac:dyDescent="0.2">
      <c r="B714" s="157"/>
      <c r="C714" s="158"/>
      <c r="D714" s="156"/>
      <c r="E714" s="156"/>
      <c r="F714" s="159" t="s">
        <v>452</v>
      </c>
      <c r="G714" s="183">
        <v>732.57</v>
      </c>
    </row>
    <row r="715" spans="2:7" x14ac:dyDescent="0.2">
      <c r="B715" s="161" t="s">
        <v>453</v>
      </c>
      <c r="C715" s="158"/>
      <c r="D715" s="156"/>
      <c r="E715" s="156"/>
      <c r="F715" s="159"/>
      <c r="G715" s="160"/>
    </row>
    <row r="716" spans="2:7" x14ac:dyDescent="0.2">
      <c r="B716" s="184" t="s">
        <v>454</v>
      </c>
      <c r="C716" s="185" t="s">
        <v>2</v>
      </c>
      <c r="D716" s="231">
        <v>7.0000000000000001E-3</v>
      </c>
      <c r="E716" s="186"/>
      <c r="F716" s="193">
        <v>121500</v>
      </c>
      <c r="G716" s="188">
        <v>852.63</v>
      </c>
    </row>
    <row r="717" spans="2:7" x14ac:dyDescent="0.2">
      <c r="B717" s="195" t="s">
        <v>455</v>
      </c>
      <c r="C717" s="225" t="s">
        <v>456</v>
      </c>
      <c r="D717" s="234">
        <v>36628.71</v>
      </c>
      <c r="E717" s="192"/>
      <c r="F717" s="246"/>
      <c r="G717" s="199" t="s">
        <v>457</v>
      </c>
    </row>
    <row r="718" spans="2:7" x14ac:dyDescent="0.2">
      <c r="B718" s="239" t="s">
        <v>458</v>
      </c>
      <c r="C718" s="240" t="s">
        <v>456</v>
      </c>
      <c r="D718" s="247">
        <v>36628.71</v>
      </c>
      <c r="E718" s="242"/>
      <c r="F718" s="243"/>
      <c r="G718" s="199" t="s">
        <v>457</v>
      </c>
    </row>
    <row r="719" spans="2:7" x14ac:dyDescent="0.2">
      <c r="B719" s="157"/>
      <c r="C719" s="158"/>
      <c r="D719" s="156"/>
      <c r="E719" s="156"/>
      <c r="F719" s="159" t="s">
        <v>459</v>
      </c>
      <c r="G719" s="173">
        <v>852.63</v>
      </c>
    </row>
    <row r="720" spans="2:7" x14ac:dyDescent="0.2">
      <c r="B720" s="157"/>
      <c r="C720" s="158"/>
      <c r="D720" s="156"/>
      <c r="E720" s="156"/>
      <c r="F720" s="159"/>
      <c r="G720" s="160"/>
    </row>
    <row r="721" spans="2:7" ht="17" thickBot="1" x14ac:dyDescent="0.25">
      <c r="B721" s="206"/>
      <c r="C721" s="207"/>
      <c r="D721" s="208"/>
      <c r="E721" s="209" t="s">
        <v>460</v>
      </c>
      <c r="F721" s="210">
        <v>148753.35</v>
      </c>
      <c r="G721" s="211">
        <v>37361</v>
      </c>
    </row>
    <row r="722" spans="2:7" ht="17" thickTop="1" x14ac:dyDescent="0.2">
      <c r="B722" s="212"/>
      <c r="C722" s="213"/>
      <c r="D722" s="212"/>
      <c r="E722" s="212"/>
      <c r="F722" s="212"/>
      <c r="G722" s="212"/>
    </row>
    <row r="723" spans="2:7" x14ac:dyDescent="0.2">
      <c r="B723" s="212"/>
      <c r="C723" s="213"/>
      <c r="D723" s="212"/>
      <c r="E723" s="212"/>
      <c r="F723" s="212"/>
      <c r="G723" s="212"/>
    </row>
    <row r="724" spans="2:7" ht="17" thickBot="1" x14ac:dyDescent="0.25">
      <c r="B724" s="212"/>
      <c r="C724" s="213"/>
      <c r="D724" s="212"/>
      <c r="E724" s="212"/>
      <c r="F724" s="212"/>
      <c r="G724" s="212"/>
    </row>
    <row r="725" spans="2:7" ht="17" thickTop="1" x14ac:dyDescent="0.2">
      <c r="B725" s="537" t="s">
        <v>42</v>
      </c>
      <c r="C725" s="538"/>
      <c r="D725" s="538"/>
      <c r="E725" s="538"/>
      <c r="F725" s="148"/>
      <c r="G725" s="149" t="s">
        <v>439</v>
      </c>
    </row>
    <row r="726" spans="2:7" x14ac:dyDescent="0.2">
      <c r="B726" s="539"/>
      <c r="C726" s="540"/>
      <c r="D726" s="540"/>
      <c r="E726" s="540"/>
      <c r="F726" s="150"/>
      <c r="G726" s="151" t="s">
        <v>497</v>
      </c>
    </row>
    <row r="727" spans="2:7" x14ac:dyDescent="0.2">
      <c r="B727" s="152" t="s">
        <v>1</v>
      </c>
      <c r="C727" s="153" t="s">
        <v>2</v>
      </c>
      <c r="D727" s="153" t="s">
        <v>3</v>
      </c>
      <c r="E727" s="153" t="s">
        <v>441</v>
      </c>
      <c r="F727" s="154" t="s">
        <v>442</v>
      </c>
      <c r="G727" s="155" t="s">
        <v>443</v>
      </c>
    </row>
    <row r="728" spans="2:7" x14ac:dyDescent="0.2">
      <c r="B728" s="157"/>
      <c r="C728" s="158"/>
      <c r="D728" s="156"/>
      <c r="E728" s="156"/>
      <c r="F728" s="159"/>
      <c r="G728" s="160"/>
    </row>
    <row r="729" spans="2:7" x14ac:dyDescent="0.2">
      <c r="B729" s="161" t="s">
        <v>444</v>
      </c>
      <c r="C729" s="158"/>
      <c r="D729" s="156"/>
      <c r="E729" s="156"/>
      <c r="F729" s="159"/>
      <c r="G729" s="160"/>
    </row>
    <row r="730" spans="2:7" x14ac:dyDescent="0.2">
      <c r="B730" s="174" t="s">
        <v>445</v>
      </c>
      <c r="C730" s="175" t="s">
        <v>2</v>
      </c>
      <c r="D730" s="244">
        <v>0.11</v>
      </c>
      <c r="E730" s="224">
        <v>7.02</v>
      </c>
      <c r="F730" s="214">
        <v>174928.81</v>
      </c>
      <c r="G730" s="179">
        <v>21130.31</v>
      </c>
    </row>
    <row r="731" spans="2:7" x14ac:dyDescent="0.2">
      <c r="B731" s="200"/>
      <c r="C731" s="169"/>
      <c r="D731" s="170"/>
      <c r="E731" s="170"/>
      <c r="F731" s="171"/>
      <c r="G731" s="204"/>
    </row>
    <row r="732" spans="2:7" x14ac:dyDescent="0.2">
      <c r="B732" s="157"/>
      <c r="C732" s="158"/>
      <c r="D732" s="156"/>
      <c r="E732" s="156"/>
      <c r="F732" s="159" t="s">
        <v>446</v>
      </c>
      <c r="G732" s="183">
        <v>21130.31</v>
      </c>
    </row>
    <row r="733" spans="2:7" x14ac:dyDescent="0.2">
      <c r="B733" s="161" t="s">
        <v>447</v>
      </c>
      <c r="C733" s="158"/>
      <c r="D733" s="156"/>
      <c r="E733" s="156"/>
      <c r="F733" s="159"/>
      <c r="G733" s="160"/>
    </row>
    <row r="734" spans="2:7" x14ac:dyDescent="0.2">
      <c r="B734" s="218" t="s">
        <v>448</v>
      </c>
      <c r="C734" s="219" t="s">
        <v>2</v>
      </c>
      <c r="D734" s="228">
        <v>1.75</v>
      </c>
      <c r="E734" s="229"/>
      <c r="F734" s="220">
        <v>1208.1199999999999</v>
      </c>
      <c r="G734" s="221">
        <v>2119.5</v>
      </c>
    </row>
    <row r="735" spans="2:7" x14ac:dyDescent="0.2">
      <c r="B735" s="180"/>
      <c r="C735" s="185"/>
      <c r="D735" s="181"/>
      <c r="E735" s="186"/>
      <c r="F735" s="222"/>
      <c r="G735" s="230"/>
    </row>
    <row r="736" spans="2:7" x14ac:dyDescent="0.2">
      <c r="B736" s="157"/>
      <c r="C736" s="158"/>
      <c r="D736" s="156"/>
      <c r="E736" s="156"/>
      <c r="F736" s="159" t="s">
        <v>449</v>
      </c>
      <c r="G736" s="183">
        <v>2119.5</v>
      </c>
    </row>
    <row r="737" spans="2:7" x14ac:dyDescent="0.2">
      <c r="B737" s="161" t="s">
        <v>450</v>
      </c>
      <c r="C737" s="158"/>
      <c r="D737" s="156"/>
      <c r="E737" s="156"/>
      <c r="F737" s="159"/>
      <c r="G737" s="160"/>
    </row>
    <row r="738" spans="2:7" x14ac:dyDescent="0.2">
      <c r="B738" s="184" t="s">
        <v>451</v>
      </c>
      <c r="C738" s="185" t="s">
        <v>2</v>
      </c>
      <c r="D738" s="178">
        <v>23960.33</v>
      </c>
      <c r="E738" s="186"/>
      <c r="F738" s="187">
        <v>0.02</v>
      </c>
      <c r="G738" s="188">
        <v>479.2</v>
      </c>
    </row>
    <row r="739" spans="2:7" x14ac:dyDescent="0.2">
      <c r="B739" s="157"/>
      <c r="C739" s="158"/>
      <c r="D739" s="156"/>
      <c r="E739" s="156"/>
      <c r="F739" s="159" t="s">
        <v>452</v>
      </c>
      <c r="G739" s="183">
        <v>479.2</v>
      </c>
    </row>
    <row r="740" spans="2:7" x14ac:dyDescent="0.2">
      <c r="B740" s="161" t="s">
        <v>453</v>
      </c>
      <c r="C740" s="158"/>
      <c r="D740" s="156"/>
      <c r="E740" s="156"/>
      <c r="F740" s="159"/>
      <c r="G740" s="160"/>
    </row>
    <row r="741" spans="2:7" x14ac:dyDescent="0.2">
      <c r="B741" s="189" t="s">
        <v>454</v>
      </c>
      <c r="C741" s="190" t="s">
        <v>2</v>
      </c>
      <c r="D741" s="231">
        <v>6.0000000000000001E-3</v>
      </c>
      <c r="E741" s="232"/>
      <c r="F741" s="193">
        <v>121500</v>
      </c>
      <c r="G741" s="194">
        <v>710.52</v>
      </c>
    </row>
    <row r="742" spans="2:7" x14ac:dyDescent="0.2">
      <c r="B742" s="195" t="s">
        <v>455</v>
      </c>
      <c r="C742" s="233" t="s">
        <v>456</v>
      </c>
      <c r="D742" s="234">
        <v>23960.33</v>
      </c>
      <c r="E742" s="226"/>
      <c r="F742" s="235"/>
      <c r="G742" s="199" t="s">
        <v>457</v>
      </c>
    </row>
    <row r="743" spans="2:7" x14ac:dyDescent="0.2">
      <c r="B743" s="200" t="s">
        <v>458</v>
      </c>
      <c r="C743" s="169" t="s">
        <v>456</v>
      </c>
      <c r="D743" s="178">
        <v>23960.33</v>
      </c>
      <c r="E743" s="170"/>
      <c r="F743" s="238"/>
      <c r="G743" s="204" t="s">
        <v>457</v>
      </c>
    </row>
    <row r="744" spans="2:7" x14ac:dyDescent="0.2">
      <c r="B744" s="180"/>
      <c r="C744" s="169"/>
      <c r="D744" s="205"/>
      <c r="E744" s="170"/>
      <c r="F744" s="171"/>
      <c r="G744" s="230"/>
    </row>
    <row r="745" spans="2:7" x14ac:dyDescent="0.2">
      <c r="B745" s="157"/>
      <c r="C745" s="158"/>
      <c r="D745" s="156"/>
      <c r="E745" s="156"/>
      <c r="F745" s="159" t="s">
        <v>459</v>
      </c>
      <c r="G745" s="183">
        <v>710.52</v>
      </c>
    </row>
    <row r="746" spans="2:7" x14ac:dyDescent="0.2">
      <c r="B746" s="157"/>
      <c r="C746" s="158"/>
      <c r="D746" s="156"/>
      <c r="E746" s="156"/>
      <c r="F746" s="159"/>
      <c r="G746" s="160"/>
    </row>
    <row r="747" spans="2:7" ht="17" thickBot="1" x14ac:dyDescent="0.25">
      <c r="B747" s="206"/>
      <c r="C747" s="207"/>
      <c r="D747" s="208"/>
      <c r="E747" s="209" t="s">
        <v>460</v>
      </c>
      <c r="F747" s="210">
        <v>13908.44</v>
      </c>
      <c r="G747" s="211">
        <v>24440</v>
      </c>
    </row>
    <row r="748" spans="2:7" ht="17" thickTop="1" x14ac:dyDescent="0.2">
      <c r="B748" s="212"/>
      <c r="C748" s="213"/>
      <c r="D748" s="212"/>
      <c r="E748" s="212"/>
      <c r="F748" s="212"/>
      <c r="G748" s="212"/>
    </row>
    <row r="749" spans="2:7" ht="17" thickBot="1" x14ac:dyDescent="0.25">
      <c r="B749" s="212"/>
      <c r="C749" s="213"/>
      <c r="D749" s="212"/>
      <c r="E749" s="212"/>
      <c r="F749" s="212"/>
      <c r="G749" s="212"/>
    </row>
    <row r="750" spans="2:7" ht="17" thickTop="1" x14ac:dyDescent="0.2">
      <c r="B750" s="537" t="s">
        <v>43</v>
      </c>
      <c r="C750" s="538"/>
      <c r="D750" s="538"/>
      <c r="E750" s="538"/>
      <c r="F750" s="148"/>
      <c r="G750" s="149" t="s">
        <v>439</v>
      </c>
    </row>
    <row r="751" spans="2:7" x14ac:dyDescent="0.2">
      <c r="B751" s="539"/>
      <c r="C751" s="540"/>
      <c r="D751" s="540"/>
      <c r="E751" s="540"/>
      <c r="F751" s="150"/>
      <c r="G751" s="151" t="s">
        <v>498</v>
      </c>
    </row>
    <row r="752" spans="2:7" x14ac:dyDescent="0.2">
      <c r="B752" s="152" t="s">
        <v>1</v>
      </c>
      <c r="C752" s="153" t="s">
        <v>2</v>
      </c>
      <c r="D752" s="153" t="s">
        <v>3</v>
      </c>
      <c r="E752" s="153" t="s">
        <v>441</v>
      </c>
      <c r="F752" s="154" t="s">
        <v>442</v>
      </c>
      <c r="G752" s="155" t="s">
        <v>443</v>
      </c>
    </row>
    <row r="753" spans="2:7" x14ac:dyDescent="0.2">
      <c r="B753" s="157"/>
      <c r="C753" s="158"/>
      <c r="D753" s="156"/>
      <c r="E753" s="156"/>
      <c r="F753" s="159"/>
      <c r="G753" s="160"/>
    </row>
    <row r="754" spans="2:7" x14ac:dyDescent="0.2">
      <c r="B754" s="161" t="s">
        <v>444</v>
      </c>
      <c r="C754" s="158"/>
      <c r="D754" s="156"/>
      <c r="E754" s="156"/>
      <c r="F754" s="159"/>
      <c r="G754" s="160"/>
    </row>
    <row r="755" spans="2:7" x14ac:dyDescent="0.2">
      <c r="B755" s="174" t="s">
        <v>445</v>
      </c>
      <c r="C755" s="175" t="s">
        <v>2</v>
      </c>
      <c r="D755" s="244">
        <v>0.09</v>
      </c>
      <c r="E755" s="224">
        <v>7.02</v>
      </c>
      <c r="F755" s="214">
        <v>174928.81</v>
      </c>
      <c r="G755" s="179">
        <v>16099.28</v>
      </c>
    </row>
    <row r="756" spans="2:7" x14ac:dyDescent="0.2">
      <c r="B756" s="200"/>
      <c r="C756" s="169"/>
      <c r="D756" s="170"/>
      <c r="E756" s="170"/>
      <c r="F756" s="171"/>
      <c r="G756" s="204"/>
    </row>
    <row r="757" spans="2:7" x14ac:dyDescent="0.2">
      <c r="B757" s="157"/>
      <c r="C757" s="158"/>
      <c r="D757" s="156"/>
      <c r="E757" s="156"/>
      <c r="F757" s="159" t="s">
        <v>446</v>
      </c>
      <c r="G757" s="183">
        <v>16099.28</v>
      </c>
    </row>
    <row r="758" spans="2:7" x14ac:dyDescent="0.2">
      <c r="B758" s="161" t="s">
        <v>447</v>
      </c>
      <c r="C758" s="158"/>
      <c r="D758" s="156"/>
      <c r="E758" s="156"/>
      <c r="F758" s="159"/>
      <c r="G758" s="160"/>
    </row>
    <row r="759" spans="2:7" x14ac:dyDescent="0.2">
      <c r="B759" s="218" t="s">
        <v>448</v>
      </c>
      <c r="C759" s="219" t="s">
        <v>2</v>
      </c>
      <c r="D759" s="228">
        <v>1.75</v>
      </c>
      <c r="E759" s="229"/>
      <c r="F759" s="220">
        <v>1208.1199999999999</v>
      </c>
      <c r="G759" s="221">
        <v>2119.5</v>
      </c>
    </row>
    <row r="760" spans="2:7" x14ac:dyDescent="0.2">
      <c r="B760" s="180"/>
      <c r="C760" s="185"/>
      <c r="D760" s="181"/>
      <c r="E760" s="186"/>
      <c r="F760" s="222"/>
      <c r="G760" s="230"/>
    </row>
    <row r="761" spans="2:7" x14ac:dyDescent="0.2">
      <c r="B761" s="157"/>
      <c r="C761" s="158"/>
      <c r="D761" s="156"/>
      <c r="E761" s="156"/>
      <c r="F761" s="159" t="s">
        <v>449</v>
      </c>
      <c r="G761" s="183">
        <v>2119.5</v>
      </c>
    </row>
    <row r="762" spans="2:7" x14ac:dyDescent="0.2">
      <c r="B762" s="161" t="s">
        <v>450</v>
      </c>
      <c r="C762" s="158"/>
      <c r="D762" s="156"/>
      <c r="E762" s="156"/>
      <c r="F762" s="159"/>
      <c r="G762" s="160"/>
    </row>
    <row r="763" spans="2:7" x14ac:dyDescent="0.2">
      <c r="B763" s="184" t="s">
        <v>451</v>
      </c>
      <c r="C763" s="185" t="s">
        <v>2</v>
      </c>
      <c r="D763" s="178">
        <v>18827.8</v>
      </c>
      <c r="E763" s="186"/>
      <c r="F763" s="187">
        <v>0.02</v>
      </c>
      <c r="G763" s="188">
        <v>376.55</v>
      </c>
    </row>
    <row r="764" spans="2:7" x14ac:dyDescent="0.2">
      <c r="B764" s="157"/>
      <c r="C764" s="158"/>
      <c r="D764" s="156"/>
      <c r="E764" s="156"/>
      <c r="F764" s="159" t="s">
        <v>452</v>
      </c>
      <c r="G764" s="183">
        <v>376.55</v>
      </c>
    </row>
    <row r="765" spans="2:7" x14ac:dyDescent="0.2">
      <c r="B765" s="161" t="s">
        <v>453</v>
      </c>
      <c r="C765" s="158"/>
      <c r="D765" s="156"/>
      <c r="E765" s="156"/>
      <c r="F765" s="159"/>
      <c r="G765" s="160"/>
    </row>
    <row r="766" spans="2:7" x14ac:dyDescent="0.2">
      <c r="B766" s="189" t="s">
        <v>454</v>
      </c>
      <c r="C766" s="190" t="s">
        <v>2</v>
      </c>
      <c r="D766" s="231">
        <v>5.0000000000000001E-3</v>
      </c>
      <c r="E766" s="232"/>
      <c r="F766" s="193">
        <v>121500</v>
      </c>
      <c r="G766" s="194">
        <v>609.02</v>
      </c>
    </row>
    <row r="767" spans="2:7" x14ac:dyDescent="0.2">
      <c r="B767" s="195" t="s">
        <v>455</v>
      </c>
      <c r="C767" s="233" t="s">
        <v>456</v>
      </c>
      <c r="D767" s="234">
        <v>18827.8</v>
      </c>
      <c r="E767" s="226"/>
      <c r="F767" s="235"/>
      <c r="G767" s="199" t="s">
        <v>457</v>
      </c>
    </row>
    <row r="768" spans="2:7" x14ac:dyDescent="0.2">
      <c r="B768" s="195" t="s">
        <v>458</v>
      </c>
      <c r="C768" s="233" t="s">
        <v>456</v>
      </c>
      <c r="D768" s="178">
        <v>18827.8</v>
      </c>
      <c r="E768" s="226"/>
      <c r="F768" s="235"/>
      <c r="G768" s="199" t="s">
        <v>457</v>
      </c>
    </row>
    <row r="769" spans="2:7" x14ac:dyDescent="0.2">
      <c r="B769" s="157"/>
      <c r="C769" s="158"/>
      <c r="D769" s="156"/>
      <c r="E769" s="156"/>
      <c r="F769" s="159" t="s">
        <v>459</v>
      </c>
      <c r="G769" s="173">
        <v>609.02</v>
      </c>
    </row>
    <row r="770" spans="2:7" x14ac:dyDescent="0.2">
      <c r="B770" s="157"/>
      <c r="C770" s="158"/>
      <c r="D770" s="156"/>
      <c r="E770" s="156"/>
      <c r="F770" s="159"/>
      <c r="G770" s="160"/>
    </row>
    <row r="771" spans="2:7" ht="17" thickBot="1" x14ac:dyDescent="0.25">
      <c r="B771" s="206"/>
      <c r="C771" s="207"/>
      <c r="D771" s="208"/>
      <c r="E771" s="209" t="s">
        <v>460</v>
      </c>
      <c r="F771" s="210">
        <v>9666.0400000000009</v>
      </c>
      <c r="G771" s="211">
        <v>19204</v>
      </c>
    </row>
    <row r="772" spans="2:7" ht="17" thickTop="1" x14ac:dyDescent="0.2">
      <c r="B772" s="212"/>
      <c r="C772" s="213"/>
      <c r="D772" s="212"/>
      <c r="E772" s="212"/>
      <c r="F772" s="212"/>
      <c r="G772" s="212"/>
    </row>
    <row r="773" spans="2:7" ht="17" thickBot="1" x14ac:dyDescent="0.25">
      <c r="B773" s="212"/>
      <c r="C773" s="213"/>
      <c r="D773" s="212"/>
      <c r="E773" s="212"/>
      <c r="F773" s="212"/>
      <c r="G773" s="212"/>
    </row>
    <row r="774" spans="2:7" ht="17" thickTop="1" x14ac:dyDescent="0.2">
      <c r="B774" s="537" t="s">
        <v>44</v>
      </c>
      <c r="C774" s="538"/>
      <c r="D774" s="538"/>
      <c r="E774" s="538"/>
      <c r="F774" s="148"/>
      <c r="G774" s="149" t="s">
        <v>439</v>
      </c>
    </row>
    <row r="775" spans="2:7" x14ac:dyDescent="0.2">
      <c r="B775" s="539"/>
      <c r="C775" s="540"/>
      <c r="D775" s="540"/>
      <c r="E775" s="540"/>
      <c r="F775" s="150"/>
      <c r="G775" s="151" t="s">
        <v>499</v>
      </c>
    </row>
    <row r="776" spans="2:7" x14ac:dyDescent="0.2">
      <c r="B776" s="152" t="s">
        <v>1</v>
      </c>
      <c r="C776" s="153" t="s">
        <v>2</v>
      </c>
      <c r="D776" s="153" t="s">
        <v>3</v>
      </c>
      <c r="E776" s="153" t="s">
        <v>441</v>
      </c>
      <c r="F776" s="154" t="s">
        <v>442</v>
      </c>
      <c r="G776" s="155" t="s">
        <v>443</v>
      </c>
    </row>
    <row r="777" spans="2:7" x14ac:dyDescent="0.2">
      <c r="B777" s="157"/>
      <c r="C777" s="158"/>
      <c r="D777" s="156"/>
      <c r="E777" s="156"/>
      <c r="F777" s="159"/>
      <c r="G777" s="160"/>
    </row>
    <row r="778" spans="2:7" x14ac:dyDescent="0.2">
      <c r="B778" s="161" t="s">
        <v>444</v>
      </c>
      <c r="C778" s="158"/>
      <c r="D778" s="156"/>
      <c r="E778" s="156"/>
      <c r="F778" s="159"/>
      <c r="G778" s="160"/>
    </row>
    <row r="779" spans="2:7" x14ac:dyDescent="0.2">
      <c r="B779" s="174" t="s">
        <v>445</v>
      </c>
      <c r="C779" s="175" t="s">
        <v>2</v>
      </c>
      <c r="D779" s="244">
        <v>0.06</v>
      </c>
      <c r="E779" s="224">
        <v>7.02</v>
      </c>
      <c r="F779" s="214">
        <v>174928.81</v>
      </c>
      <c r="G779" s="179">
        <v>11068.25</v>
      </c>
    </row>
    <row r="780" spans="2:7" x14ac:dyDescent="0.2">
      <c r="B780" s="200"/>
      <c r="C780" s="169"/>
      <c r="D780" s="170"/>
      <c r="E780" s="170"/>
      <c r="F780" s="171"/>
      <c r="G780" s="204"/>
    </row>
    <row r="781" spans="2:7" x14ac:dyDescent="0.2">
      <c r="B781" s="157"/>
      <c r="C781" s="158"/>
      <c r="D781" s="156"/>
      <c r="E781" s="156"/>
      <c r="F781" s="159" t="s">
        <v>446</v>
      </c>
      <c r="G781" s="183">
        <v>11068.25</v>
      </c>
    </row>
    <row r="782" spans="2:7" x14ac:dyDescent="0.2">
      <c r="B782" s="161" t="s">
        <v>447</v>
      </c>
      <c r="C782" s="158"/>
      <c r="D782" s="156"/>
      <c r="E782" s="156"/>
      <c r="F782" s="159"/>
      <c r="G782" s="160"/>
    </row>
    <row r="783" spans="2:7" x14ac:dyDescent="0.2">
      <c r="B783" s="218" t="s">
        <v>448</v>
      </c>
      <c r="C783" s="219" t="s">
        <v>2</v>
      </c>
      <c r="D783" s="228">
        <v>1.23</v>
      </c>
      <c r="E783" s="229"/>
      <c r="F783" s="220">
        <v>1208.1199999999999</v>
      </c>
      <c r="G783" s="221">
        <v>1483.65</v>
      </c>
    </row>
    <row r="784" spans="2:7" x14ac:dyDescent="0.2">
      <c r="B784" s="180"/>
      <c r="C784" s="185"/>
      <c r="D784" s="181"/>
      <c r="E784" s="186"/>
      <c r="F784" s="222"/>
      <c r="G784" s="230"/>
    </row>
    <row r="785" spans="2:7" x14ac:dyDescent="0.2">
      <c r="B785" s="157"/>
      <c r="C785" s="158"/>
      <c r="D785" s="156"/>
      <c r="E785" s="156"/>
      <c r="F785" s="159" t="s">
        <v>449</v>
      </c>
      <c r="G785" s="183">
        <v>1483.65</v>
      </c>
    </row>
    <row r="786" spans="2:7" x14ac:dyDescent="0.2">
      <c r="B786" s="161" t="s">
        <v>450</v>
      </c>
      <c r="C786" s="158"/>
      <c r="D786" s="156"/>
      <c r="E786" s="156"/>
      <c r="F786" s="159"/>
      <c r="G786" s="160"/>
    </row>
    <row r="787" spans="2:7" x14ac:dyDescent="0.2">
      <c r="B787" s="184" t="s">
        <v>451</v>
      </c>
      <c r="C787" s="185" t="s">
        <v>2</v>
      </c>
      <c r="D787" s="178">
        <v>13084.79</v>
      </c>
      <c r="E787" s="186"/>
      <c r="F787" s="187">
        <v>0.02</v>
      </c>
      <c r="G787" s="188">
        <v>261.69</v>
      </c>
    </row>
    <row r="788" spans="2:7" x14ac:dyDescent="0.2">
      <c r="B788" s="157"/>
      <c r="C788" s="158"/>
      <c r="D788" s="156"/>
      <c r="E788" s="156"/>
      <c r="F788" s="159" t="s">
        <v>452</v>
      </c>
      <c r="G788" s="183">
        <v>261.69</v>
      </c>
    </row>
    <row r="789" spans="2:7" x14ac:dyDescent="0.2">
      <c r="B789" s="161" t="s">
        <v>453</v>
      </c>
      <c r="C789" s="158"/>
      <c r="D789" s="156"/>
      <c r="E789" s="156"/>
      <c r="F789" s="159"/>
      <c r="G789" s="160"/>
    </row>
    <row r="790" spans="2:7" x14ac:dyDescent="0.2">
      <c r="B790" s="189" t="s">
        <v>454</v>
      </c>
      <c r="C790" s="190" t="s">
        <v>2</v>
      </c>
      <c r="D790" s="231">
        <v>4.0000000000000001E-3</v>
      </c>
      <c r="E790" s="232"/>
      <c r="F790" s="193">
        <v>121500</v>
      </c>
      <c r="G790" s="194">
        <v>532.89</v>
      </c>
    </row>
    <row r="791" spans="2:7" x14ac:dyDescent="0.2">
      <c r="B791" s="195" t="s">
        <v>455</v>
      </c>
      <c r="C791" s="233" t="s">
        <v>456</v>
      </c>
      <c r="D791" s="234">
        <v>13084.79</v>
      </c>
      <c r="E791" s="226"/>
      <c r="F791" s="235"/>
      <c r="G791" s="199" t="s">
        <v>457</v>
      </c>
    </row>
    <row r="792" spans="2:7" x14ac:dyDescent="0.2">
      <c r="B792" s="200" t="s">
        <v>458</v>
      </c>
      <c r="C792" s="169" t="s">
        <v>456</v>
      </c>
      <c r="D792" s="178">
        <v>13084.79</v>
      </c>
      <c r="E792" s="170"/>
      <c r="F792" s="238"/>
      <c r="G792" s="204" t="s">
        <v>457</v>
      </c>
    </row>
    <row r="793" spans="2:7" x14ac:dyDescent="0.2">
      <c r="B793" s="180"/>
      <c r="C793" s="169"/>
      <c r="D793" s="205"/>
      <c r="E793" s="170"/>
      <c r="F793" s="171"/>
      <c r="G793" s="230"/>
    </row>
    <row r="794" spans="2:7" x14ac:dyDescent="0.2">
      <c r="B794" s="157"/>
      <c r="C794" s="158"/>
      <c r="D794" s="156"/>
      <c r="E794" s="156"/>
      <c r="F794" s="159" t="s">
        <v>459</v>
      </c>
      <c r="G794" s="183">
        <v>532.89</v>
      </c>
    </row>
    <row r="795" spans="2:7" x14ac:dyDescent="0.2">
      <c r="B795" s="157"/>
      <c r="C795" s="158"/>
      <c r="D795" s="156"/>
      <c r="E795" s="156"/>
      <c r="F795" s="159"/>
      <c r="G795" s="160"/>
    </row>
    <row r="796" spans="2:7" ht="17" thickBot="1" x14ac:dyDescent="0.25">
      <c r="B796" s="206"/>
      <c r="C796" s="207"/>
      <c r="D796" s="208"/>
      <c r="E796" s="209" t="s">
        <v>460</v>
      </c>
      <c r="F796" s="210">
        <v>13346.48</v>
      </c>
      <c r="G796" s="211">
        <v>13346</v>
      </c>
    </row>
    <row r="797" spans="2:7" ht="17" thickTop="1" x14ac:dyDescent="0.2">
      <c r="B797" s="212"/>
      <c r="C797" s="213"/>
      <c r="D797" s="212"/>
      <c r="E797" s="212"/>
      <c r="F797" s="212"/>
      <c r="G797" s="212"/>
    </row>
    <row r="798" spans="2:7" x14ac:dyDescent="0.2">
      <c r="B798" s="212"/>
      <c r="C798" s="213"/>
      <c r="D798" s="212"/>
      <c r="E798" s="212"/>
      <c r="F798" s="212"/>
      <c r="G798" s="212"/>
    </row>
    <row r="799" spans="2:7" ht="17" thickBot="1" x14ac:dyDescent="0.25">
      <c r="B799" s="212"/>
      <c r="C799" s="213"/>
      <c r="D799" s="212"/>
      <c r="E799" s="212"/>
      <c r="F799" s="212"/>
      <c r="G799" s="212"/>
    </row>
    <row r="800" spans="2:7" ht="17" thickTop="1" x14ac:dyDescent="0.2">
      <c r="B800" s="537" t="s">
        <v>47</v>
      </c>
      <c r="C800" s="538"/>
      <c r="D800" s="538"/>
      <c r="E800" s="538"/>
      <c r="F800" s="148"/>
      <c r="G800" s="149" t="s">
        <v>439</v>
      </c>
    </row>
    <row r="801" spans="2:7" x14ac:dyDescent="0.2">
      <c r="B801" s="539"/>
      <c r="C801" s="540"/>
      <c r="D801" s="540"/>
      <c r="E801" s="540"/>
      <c r="F801" s="150"/>
      <c r="G801" s="151" t="s">
        <v>500</v>
      </c>
    </row>
    <row r="802" spans="2:7" x14ac:dyDescent="0.2">
      <c r="B802" s="152" t="s">
        <v>1</v>
      </c>
      <c r="C802" s="153" t="s">
        <v>2</v>
      </c>
      <c r="D802" s="153" t="s">
        <v>3</v>
      </c>
      <c r="E802" s="153" t="s">
        <v>441</v>
      </c>
      <c r="F802" s="154" t="s">
        <v>442</v>
      </c>
      <c r="G802" s="155" t="s">
        <v>443</v>
      </c>
    </row>
    <row r="803" spans="2:7" x14ac:dyDescent="0.2">
      <c r="B803" s="157"/>
      <c r="C803" s="158"/>
      <c r="D803" s="156"/>
      <c r="E803" s="156"/>
      <c r="F803" s="159"/>
      <c r="G803" s="160"/>
    </row>
    <row r="804" spans="2:7" x14ac:dyDescent="0.2">
      <c r="B804" s="161" t="s">
        <v>444</v>
      </c>
      <c r="C804" s="158"/>
      <c r="D804" s="156"/>
      <c r="E804" s="156"/>
      <c r="F804" s="159"/>
      <c r="G804" s="160"/>
    </row>
    <row r="805" spans="2:7" x14ac:dyDescent="0.2">
      <c r="B805" s="162" t="s">
        <v>470</v>
      </c>
      <c r="C805" s="163" t="s">
        <v>2</v>
      </c>
      <c r="D805" s="244">
        <v>0.33</v>
      </c>
      <c r="E805" s="224">
        <v>7.02</v>
      </c>
      <c r="F805" s="166">
        <v>127091.44</v>
      </c>
      <c r="G805" s="167">
        <v>44593.48</v>
      </c>
    </row>
    <row r="806" spans="2:7" x14ac:dyDescent="0.2">
      <c r="B806" s="168"/>
      <c r="C806" s="225"/>
      <c r="D806" s="226"/>
      <c r="E806" s="226"/>
      <c r="F806" s="227"/>
      <c r="G806" s="172"/>
    </row>
    <row r="807" spans="2:7" x14ac:dyDescent="0.2">
      <c r="B807" s="157"/>
      <c r="C807" s="158"/>
      <c r="D807" s="156"/>
      <c r="E807" s="156"/>
      <c r="F807" s="159" t="s">
        <v>446</v>
      </c>
      <c r="G807" s="183">
        <v>44593.48</v>
      </c>
    </row>
    <row r="808" spans="2:7" x14ac:dyDescent="0.2">
      <c r="B808" s="161" t="s">
        <v>447</v>
      </c>
      <c r="C808" s="158"/>
      <c r="D808" s="156"/>
      <c r="E808" s="156"/>
      <c r="F808" s="159"/>
      <c r="G808" s="160"/>
    </row>
    <row r="809" spans="2:7" x14ac:dyDescent="0.2">
      <c r="B809" s="218" t="s">
        <v>448</v>
      </c>
      <c r="C809" s="219" t="s">
        <v>2</v>
      </c>
      <c r="D809" s="228">
        <v>6.32</v>
      </c>
      <c r="E809" s="229"/>
      <c r="F809" s="220">
        <v>1208.1199999999999</v>
      </c>
      <c r="G809" s="221">
        <v>7630.23</v>
      </c>
    </row>
    <row r="810" spans="2:7" x14ac:dyDescent="0.2">
      <c r="B810" s="180"/>
      <c r="C810" s="185"/>
      <c r="D810" s="181"/>
      <c r="E810" s="186"/>
      <c r="F810" s="222"/>
      <c r="G810" s="230"/>
    </row>
    <row r="811" spans="2:7" x14ac:dyDescent="0.2">
      <c r="B811" s="157"/>
      <c r="C811" s="158"/>
      <c r="D811" s="156"/>
      <c r="E811" s="156"/>
      <c r="F811" s="159" t="s">
        <v>449</v>
      </c>
      <c r="G811" s="183">
        <v>7630.23</v>
      </c>
    </row>
    <row r="812" spans="2:7" x14ac:dyDescent="0.2">
      <c r="B812" s="161" t="s">
        <v>450</v>
      </c>
      <c r="C812" s="158"/>
      <c r="D812" s="156"/>
      <c r="E812" s="156"/>
      <c r="F812" s="159"/>
      <c r="G812" s="160"/>
    </row>
    <row r="813" spans="2:7" x14ac:dyDescent="0.2">
      <c r="B813" s="184" t="s">
        <v>451</v>
      </c>
      <c r="C813" s="185" t="s">
        <v>2</v>
      </c>
      <c r="D813" s="178">
        <v>57339.49</v>
      </c>
      <c r="E813" s="186"/>
      <c r="F813" s="187">
        <v>0.02</v>
      </c>
      <c r="G813" s="188">
        <v>1146.78</v>
      </c>
    </row>
    <row r="814" spans="2:7" x14ac:dyDescent="0.2">
      <c r="B814" s="157"/>
      <c r="C814" s="158"/>
      <c r="D814" s="156"/>
      <c r="E814" s="156"/>
      <c r="F814" s="159" t="s">
        <v>452</v>
      </c>
      <c r="G814" s="183">
        <v>1146.78</v>
      </c>
    </row>
    <row r="815" spans="2:7" x14ac:dyDescent="0.2">
      <c r="B815" s="161" t="s">
        <v>453</v>
      </c>
      <c r="C815" s="158"/>
      <c r="D815" s="156"/>
      <c r="E815" s="156"/>
      <c r="F815" s="159"/>
      <c r="G815" s="160"/>
    </row>
    <row r="816" spans="2:7" x14ac:dyDescent="0.2">
      <c r="B816" s="189" t="s">
        <v>454</v>
      </c>
      <c r="C816" s="190" t="s">
        <v>2</v>
      </c>
      <c r="D816" s="231">
        <v>4.2000000000000003E-2</v>
      </c>
      <c r="E816" s="232"/>
      <c r="F816" s="193">
        <v>121500</v>
      </c>
      <c r="G816" s="194">
        <v>5115.78</v>
      </c>
    </row>
    <row r="817" spans="2:7" x14ac:dyDescent="0.2">
      <c r="B817" s="195" t="s">
        <v>455</v>
      </c>
      <c r="C817" s="233" t="s">
        <v>456</v>
      </c>
      <c r="D817" s="234">
        <v>57339.49</v>
      </c>
      <c r="E817" s="226"/>
      <c r="F817" s="235"/>
      <c r="G817" s="199" t="s">
        <v>457</v>
      </c>
    </row>
    <row r="818" spans="2:7" x14ac:dyDescent="0.2">
      <c r="B818" s="200" t="s">
        <v>458</v>
      </c>
      <c r="C818" s="169" t="s">
        <v>456</v>
      </c>
      <c r="D818" s="178">
        <v>57339.49</v>
      </c>
      <c r="E818" s="170"/>
      <c r="F818" s="238"/>
      <c r="G818" s="204" t="s">
        <v>457</v>
      </c>
    </row>
    <row r="819" spans="2:7" x14ac:dyDescent="0.2">
      <c r="B819" s="180"/>
      <c r="C819" s="169"/>
      <c r="D819" s="205"/>
      <c r="E819" s="170"/>
      <c r="F819" s="171"/>
      <c r="G819" s="230"/>
    </row>
    <row r="820" spans="2:7" x14ac:dyDescent="0.2">
      <c r="B820" s="157"/>
      <c r="C820" s="158"/>
      <c r="D820" s="156"/>
      <c r="E820" s="156"/>
      <c r="F820" s="159" t="s">
        <v>459</v>
      </c>
      <c r="G820" s="183">
        <v>5115.78</v>
      </c>
    </row>
    <row r="821" spans="2:7" x14ac:dyDescent="0.2">
      <c r="B821" s="157"/>
      <c r="C821" s="158"/>
      <c r="D821" s="156"/>
      <c r="E821" s="156"/>
      <c r="F821" s="159"/>
      <c r="G821" s="160"/>
    </row>
    <row r="822" spans="2:7" ht="17" thickBot="1" x14ac:dyDescent="0.25">
      <c r="B822" s="206"/>
      <c r="C822" s="207"/>
      <c r="D822" s="208"/>
      <c r="E822" s="209" t="s">
        <v>460</v>
      </c>
      <c r="F822" s="210" t="e">
        <v>#REF!</v>
      </c>
      <c r="G822" s="211">
        <v>58486</v>
      </c>
    </row>
    <row r="823" spans="2:7" ht="17" thickTop="1" x14ac:dyDescent="0.2">
      <c r="B823" s="212"/>
      <c r="C823" s="213"/>
      <c r="D823" s="212"/>
      <c r="E823" s="212"/>
      <c r="F823" s="212"/>
      <c r="G823" s="212"/>
    </row>
    <row r="824" spans="2:7" x14ac:dyDescent="0.2">
      <c r="B824" s="212"/>
      <c r="C824" s="213"/>
      <c r="D824" s="212"/>
      <c r="E824" s="212"/>
      <c r="F824" s="212"/>
      <c r="G824" s="212"/>
    </row>
    <row r="825" spans="2:7" ht="17" thickBot="1" x14ac:dyDescent="0.25">
      <c r="B825" s="212"/>
      <c r="C825" s="213"/>
      <c r="D825" s="212"/>
      <c r="E825" s="212"/>
      <c r="F825" s="212"/>
      <c r="G825" s="212"/>
    </row>
    <row r="826" spans="2:7" ht="17" thickTop="1" x14ac:dyDescent="0.2">
      <c r="B826" s="537" t="s">
        <v>48</v>
      </c>
      <c r="C826" s="538"/>
      <c r="D826" s="538"/>
      <c r="E826" s="538"/>
      <c r="F826" s="148"/>
      <c r="G826" s="149" t="s">
        <v>439</v>
      </c>
    </row>
    <row r="827" spans="2:7" x14ac:dyDescent="0.2">
      <c r="B827" s="539"/>
      <c r="C827" s="540"/>
      <c r="D827" s="540"/>
      <c r="E827" s="540"/>
      <c r="F827" s="150"/>
      <c r="G827" s="151" t="s">
        <v>501</v>
      </c>
    </row>
    <row r="828" spans="2:7" x14ac:dyDescent="0.2">
      <c r="B828" s="152" t="s">
        <v>1</v>
      </c>
      <c r="C828" s="153" t="s">
        <v>2</v>
      </c>
      <c r="D828" s="153" t="s">
        <v>3</v>
      </c>
      <c r="E828" s="153" t="s">
        <v>441</v>
      </c>
      <c r="F828" s="154" t="s">
        <v>442</v>
      </c>
      <c r="G828" s="155" t="s">
        <v>443</v>
      </c>
    </row>
    <row r="829" spans="2:7" x14ac:dyDescent="0.2">
      <c r="B829" s="157"/>
      <c r="C829" s="158"/>
      <c r="D829" s="156"/>
      <c r="E829" s="156"/>
      <c r="F829" s="159"/>
      <c r="G829" s="160"/>
    </row>
    <row r="830" spans="2:7" x14ac:dyDescent="0.2">
      <c r="B830" s="161" t="s">
        <v>444</v>
      </c>
      <c r="C830" s="158"/>
      <c r="D830" s="156"/>
      <c r="E830" s="156"/>
      <c r="F830" s="159"/>
      <c r="G830" s="160"/>
    </row>
    <row r="831" spans="2:7" x14ac:dyDescent="0.2">
      <c r="B831" s="162" t="s">
        <v>470</v>
      </c>
      <c r="C831" s="163" t="s">
        <v>2</v>
      </c>
      <c r="D831" s="244">
        <v>0.27</v>
      </c>
      <c r="E831" s="224">
        <v>7.02</v>
      </c>
      <c r="F831" s="166">
        <v>127091.44</v>
      </c>
      <c r="G831" s="167">
        <v>36917.550000000003</v>
      </c>
    </row>
    <row r="832" spans="2:7" x14ac:dyDescent="0.2">
      <c r="B832" s="168"/>
      <c r="C832" s="225"/>
      <c r="D832" s="226"/>
      <c r="E832" s="226"/>
      <c r="F832" s="227"/>
      <c r="G832" s="172"/>
    </row>
    <row r="833" spans="2:7" x14ac:dyDescent="0.2">
      <c r="B833" s="157"/>
      <c r="C833" s="158"/>
      <c r="D833" s="156"/>
      <c r="E833" s="156"/>
      <c r="F833" s="159" t="s">
        <v>446</v>
      </c>
      <c r="G833" s="183">
        <v>36917.550000000003</v>
      </c>
    </row>
    <row r="834" spans="2:7" x14ac:dyDescent="0.2">
      <c r="B834" s="161" t="s">
        <v>447</v>
      </c>
      <c r="C834" s="158"/>
      <c r="D834" s="156"/>
      <c r="E834" s="156"/>
      <c r="F834" s="159"/>
      <c r="G834" s="160"/>
    </row>
    <row r="835" spans="2:7" x14ac:dyDescent="0.2">
      <c r="B835" s="218" t="s">
        <v>448</v>
      </c>
      <c r="C835" s="219" t="s">
        <v>2</v>
      </c>
      <c r="D835" s="228">
        <v>6.32</v>
      </c>
      <c r="E835" s="229"/>
      <c r="F835" s="220">
        <v>1208.1199999999999</v>
      </c>
      <c r="G835" s="221">
        <v>7630.23</v>
      </c>
    </row>
    <row r="836" spans="2:7" x14ac:dyDescent="0.2">
      <c r="B836" s="180"/>
      <c r="C836" s="185"/>
      <c r="D836" s="181"/>
      <c r="E836" s="186"/>
      <c r="F836" s="222"/>
      <c r="G836" s="230"/>
    </row>
    <row r="837" spans="2:7" x14ac:dyDescent="0.2">
      <c r="B837" s="157"/>
      <c r="C837" s="158"/>
      <c r="D837" s="156"/>
      <c r="E837" s="156"/>
      <c r="F837" s="159" t="s">
        <v>449</v>
      </c>
      <c r="G837" s="183">
        <v>7630.23</v>
      </c>
    </row>
    <row r="838" spans="2:7" x14ac:dyDescent="0.2">
      <c r="B838" s="161" t="s">
        <v>450</v>
      </c>
      <c r="C838" s="158"/>
      <c r="D838" s="156"/>
      <c r="E838" s="156"/>
      <c r="F838" s="159"/>
      <c r="G838" s="160"/>
    </row>
    <row r="839" spans="2:7" x14ac:dyDescent="0.2">
      <c r="B839" s="184" t="s">
        <v>451</v>
      </c>
      <c r="C839" s="185" t="s">
        <v>2</v>
      </c>
      <c r="D839" s="178">
        <v>49663.56</v>
      </c>
      <c r="E839" s="186"/>
      <c r="F839" s="187">
        <v>0.02</v>
      </c>
      <c r="G839" s="188">
        <v>993.27</v>
      </c>
    </row>
    <row r="840" spans="2:7" x14ac:dyDescent="0.2">
      <c r="B840" s="157"/>
      <c r="C840" s="158"/>
      <c r="D840" s="156"/>
      <c r="E840" s="156"/>
      <c r="F840" s="159" t="s">
        <v>452</v>
      </c>
      <c r="G840" s="183">
        <v>993.27</v>
      </c>
    </row>
    <row r="841" spans="2:7" x14ac:dyDescent="0.2">
      <c r="B841" s="161" t="s">
        <v>453</v>
      </c>
      <c r="C841" s="158"/>
      <c r="D841" s="156"/>
      <c r="E841" s="156"/>
      <c r="F841" s="159"/>
      <c r="G841" s="160"/>
    </row>
    <row r="842" spans="2:7" x14ac:dyDescent="0.2">
      <c r="B842" s="189" t="s">
        <v>454</v>
      </c>
      <c r="C842" s="190" t="s">
        <v>2</v>
      </c>
      <c r="D842" s="231">
        <v>4.2000000000000003E-2</v>
      </c>
      <c r="E842" s="232"/>
      <c r="F842" s="193">
        <v>121500</v>
      </c>
      <c r="G842" s="194">
        <v>5115.78</v>
      </c>
    </row>
    <row r="843" spans="2:7" x14ac:dyDescent="0.2">
      <c r="B843" s="195" t="s">
        <v>455</v>
      </c>
      <c r="C843" s="233" t="s">
        <v>456</v>
      </c>
      <c r="D843" s="234">
        <v>49663.56</v>
      </c>
      <c r="E843" s="226"/>
      <c r="F843" s="235"/>
      <c r="G843" s="199" t="s">
        <v>457</v>
      </c>
    </row>
    <row r="844" spans="2:7" x14ac:dyDescent="0.2">
      <c r="B844" s="200" t="s">
        <v>458</v>
      </c>
      <c r="C844" s="169" t="s">
        <v>456</v>
      </c>
      <c r="D844" s="178">
        <v>49663.56</v>
      </c>
      <c r="E844" s="170"/>
      <c r="F844" s="238"/>
      <c r="G844" s="204" t="s">
        <v>457</v>
      </c>
    </row>
    <row r="845" spans="2:7" x14ac:dyDescent="0.2">
      <c r="B845" s="180"/>
      <c r="C845" s="169"/>
      <c r="D845" s="205"/>
      <c r="E845" s="170"/>
      <c r="F845" s="171"/>
      <c r="G845" s="230"/>
    </row>
    <row r="846" spans="2:7" x14ac:dyDescent="0.2">
      <c r="B846" s="157"/>
      <c r="C846" s="158"/>
      <c r="D846" s="156"/>
      <c r="E846" s="156"/>
      <c r="F846" s="159" t="s">
        <v>459</v>
      </c>
      <c r="G846" s="183">
        <v>5115.78</v>
      </c>
    </row>
    <row r="847" spans="2:7" x14ac:dyDescent="0.2">
      <c r="B847" s="157"/>
      <c r="C847" s="158"/>
      <c r="D847" s="156"/>
      <c r="E847" s="156"/>
      <c r="F847" s="159"/>
      <c r="G847" s="160"/>
    </row>
    <row r="848" spans="2:7" ht="17" thickBot="1" x14ac:dyDescent="0.25">
      <c r="B848" s="206"/>
      <c r="C848" s="207"/>
      <c r="D848" s="208"/>
      <c r="E848" s="209" t="s">
        <v>460</v>
      </c>
      <c r="F848" s="210" t="e">
        <v>#REF!</v>
      </c>
      <c r="G848" s="211">
        <v>50657</v>
      </c>
    </row>
    <row r="849" spans="2:7" ht="17" thickTop="1" x14ac:dyDescent="0.2">
      <c r="B849" s="212"/>
      <c r="C849" s="213"/>
      <c r="D849" s="212"/>
      <c r="E849" s="212"/>
      <c r="F849" s="212"/>
      <c r="G849" s="212"/>
    </row>
    <row r="850" spans="2:7" ht="17" thickBot="1" x14ac:dyDescent="0.25">
      <c r="B850" s="212"/>
      <c r="C850" s="213"/>
      <c r="D850" s="212"/>
      <c r="E850" s="212"/>
      <c r="F850" s="212"/>
      <c r="G850" s="212"/>
    </row>
    <row r="851" spans="2:7" ht="17" thickTop="1" x14ac:dyDescent="0.2">
      <c r="B851" s="537" t="s">
        <v>49</v>
      </c>
      <c r="C851" s="538"/>
      <c r="D851" s="538"/>
      <c r="E851" s="538"/>
      <c r="F851" s="148"/>
      <c r="G851" s="149" t="s">
        <v>439</v>
      </c>
    </row>
    <row r="852" spans="2:7" x14ac:dyDescent="0.2">
      <c r="B852" s="539"/>
      <c r="C852" s="540"/>
      <c r="D852" s="540"/>
      <c r="E852" s="540"/>
      <c r="F852" s="150"/>
      <c r="G852" s="151" t="s">
        <v>502</v>
      </c>
    </row>
    <row r="853" spans="2:7" x14ac:dyDescent="0.2">
      <c r="B853" s="152" t="s">
        <v>1</v>
      </c>
      <c r="C853" s="153" t="s">
        <v>2</v>
      </c>
      <c r="D853" s="153" t="s">
        <v>3</v>
      </c>
      <c r="E853" s="153" t="s">
        <v>441</v>
      </c>
      <c r="F853" s="154" t="s">
        <v>442</v>
      </c>
      <c r="G853" s="155" t="s">
        <v>443</v>
      </c>
    </row>
    <row r="854" spans="2:7" x14ac:dyDescent="0.2">
      <c r="B854" s="157"/>
      <c r="C854" s="158"/>
      <c r="D854" s="156"/>
      <c r="E854" s="156"/>
      <c r="F854" s="159"/>
      <c r="G854" s="160"/>
    </row>
    <row r="855" spans="2:7" x14ac:dyDescent="0.2">
      <c r="B855" s="161" t="s">
        <v>444</v>
      </c>
      <c r="C855" s="158"/>
      <c r="D855" s="156"/>
      <c r="E855" s="156"/>
      <c r="F855" s="159"/>
      <c r="G855" s="160"/>
    </row>
    <row r="856" spans="2:7" x14ac:dyDescent="0.2">
      <c r="B856" s="162" t="s">
        <v>470</v>
      </c>
      <c r="C856" s="163" t="s">
        <v>2</v>
      </c>
      <c r="D856" s="244">
        <v>0.22</v>
      </c>
      <c r="E856" s="224">
        <v>7.02</v>
      </c>
      <c r="F856" s="166">
        <v>127091.44</v>
      </c>
      <c r="G856" s="167">
        <v>29972.67</v>
      </c>
    </row>
    <row r="857" spans="2:7" x14ac:dyDescent="0.2">
      <c r="B857" s="168"/>
      <c r="C857" s="225"/>
      <c r="D857" s="226"/>
      <c r="E857" s="226"/>
      <c r="F857" s="227"/>
      <c r="G857" s="172"/>
    </row>
    <row r="858" spans="2:7" x14ac:dyDescent="0.2">
      <c r="B858" s="157"/>
      <c r="C858" s="158"/>
      <c r="D858" s="156"/>
      <c r="E858" s="156"/>
      <c r="F858" s="159" t="s">
        <v>446</v>
      </c>
      <c r="G858" s="183">
        <v>29972.67</v>
      </c>
    </row>
    <row r="859" spans="2:7" x14ac:dyDescent="0.2">
      <c r="B859" s="161" t="s">
        <v>447</v>
      </c>
      <c r="C859" s="158"/>
      <c r="D859" s="156"/>
      <c r="E859" s="156"/>
      <c r="F859" s="159"/>
      <c r="G859" s="160"/>
    </row>
    <row r="860" spans="2:7" x14ac:dyDescent="0.2">
      <c r="B860" s="218" t="s">
        <v>448</v>
      </c>
      <c r="C860" s="219" t="s">
        <v>2</v>
      </c>
      <c r="D860" s="228">
        <v>6.32</v>
      </c>
      <c r="E860" s="229"/>
      <c r="F860" s="220">
        <v>1208.1199999999999</v>
      </c>
      <c r="G860" s="221">
        <v>7630.23</v>
      </c>
    </row>
    <row r="861" spans="2:7" x14ac:dyDescent="0.2">
      <c r="B861" s="180"/>
      <c r="C861" s="185"/>
      <c r="D861" s="181"/>
      <c r="E861" s="186"/>
      <c r="F861" s="222"/>
      <c r="G861" s="230"/>
    </row>
    <row r="862" spans="2:7" x14ac:dyDescent="0.2">
      <c r="B862" s="157"/>
      <c r="C862" s="158"/>
      <c r="D862" s="156"/>
      <c r="E862" s="156"/>
      <c r="F862" s="159" t="s">
        <v>449</v>
      </c>
      <c r="G862" s="183">
        <v>7630.23</v>
      </c>
    </row>
    <row r="863" spans="2:7" x14ac:dyDescent="0.2">
      <c r="B863" s="161" t="s">
        <v>450</v>
      </c>
      <c r="C863" s="158"/>
      <c r="D863" s="156"/>
      <c r="E863" s="156"/>
      <c r="F863" s="159"/>
      <c r="G863" s="160"/>
    </row>
    <row r="864" spans="2:7" x14ac:dyDescent="0.2">
      <c r="B864" s="184" t="s">
        <v>451</v>
      </c>
      <c r="C864" s="185" t="s">
        <v>2</v>
      </c>
      <c r="D864" s="178">
        <v>42718.68</v>
      </c>
      <c r="E864" s="186"/>
      <c r="F864" s="187">
        <v>0.02</v>
      </c>
      <c r="G864" s="188">
        <v>854.37</v>
      </c>
    </row>
    <row r="865" spans="2:7" x14ac:dyDescent="0.2">
      <c r="B865" s="157"/>
      <c r="C865" s="158"/>
      <c r="D865" s="156"/>
      <c r="E865" s="156"/>
      <c r="F865" s="159" t="s">
        <v>452</v>
      </c>
      <c r="G865" s="183">
        <v>854.37</v>
      </c>
    </row>
    <row r="866" spans="2:7" x14ac:dyDescent="0.2">
      <c r="B866" s="161" t="s">
        <v>453</v>
      </c>
      <c r="C866" s="158"/>
      <c r="D866" s="156"/>
      <c r="E866" s="156"/>
      <c r="F866" s="159"/>
      <c r="G866" s="160"/>
    </row>
    <row r="867" spans="2:7" x14ac:dyDescent="0.2">
      <c r="B867" s="189" t="s">
        <v>454</v>
      </c>
      <c r="C867" s="190" t="s">
        <v>2</v>
      </c>
      <c r="D867" s="231">
        <v>4.2000000000000003E-2</v>
      </c>
      <c r="E867" s="232"/>
      <c r="F867" s="193">
        <v>121500</v>
      </c>
      <c r="G867" s="194">
        <v>5115.78</v>
      </c>
    </row>
    <row r="868" spans="2:7" x14ac:dyDescent="0.2">
      <c r="B868" s="195" t="s">
        <v>455</v>
      </c>
      <c r="C868" s="233" t="s">
        <v>456</v>
      </c>
      <c r="D868" s="234">
        <v>42718.68</v>
      </c>
      <c r="E868" s="226"/>
      <c r="F868" s="235"/>
      <c r="G868" s="199" t="s">
        <v>457</v>
      </c>
    </row>
    <row r="869" spans="2:7" x14ac:dyDescent="0.2">
      <c r="B869" s="200" t="s">
        <v>458</v>
      </c>
      <c r="C869" s="169" t="s">
        <v>456</v>
      </c>
      <c r="D869" s="178">
        <v>42718.68</v>
      </c>
      <c r="E869" s="170"/>
      <c r="F869" s="238"/>
      <c r="G869" s="204" t="s">
        <v>457</v>
      </c>
    </row>
    <row r="870" spans="2:7" x14ac:dyDescent="0.2">
      <c r="B870" s="180"/>
      <c r="C870" s="169"/>
      <c r="D870" s="205"/>
      <c r="E870" s="170"/>
      <c r="F870" s="171"/>
      <c r="G870" s="230"/>
    </row>
    <row r="871" spans="2:7" x14ac:dyDescent="0.2">
      <c r="B871" s="157"/>
      <c r="C871" s="158"/>
      <c r="D871" s="156"/>
      <c r="E871" s="156"/>
      <c r="F871" s="159" t="s">
        <v>459</v>
      </c>
      <c r="G871" s="183">
        <v>5115.78</v>
      </c>
    </row>
    <row r="872" spans="2:7" x14ac:dyDescent="0.2">
      <c r="B872" s="157"/>
      <c r="C872" s="158"/>
      <c r="D872" s="156"/>
      <c r="E872" s="156"/>
      <c r="F872" s="159"/>
      <c r="G872" s="160"/>
    </row>
    <row r="873" spans="2:7" ht="17" thickBot="1" x14ac:dyDescent="0.25">
      <c r="B873" s="206"/>
      <c r="C873" s="207"/>
      <c r="D873" s="208"/>
      <c r="E873" s="209" t="s">
        <v>460</v>
      </c>
      <c r="F873" s="210">
        <v>13431.94</v>
      </c>
      <c r="G873" s="211">
        <v>43573</v>
      </c>
    </row>
    <row r="874" spans="2:7" ht="17" thickTop="1" x14ac:dyDescent="0.2">
      <c r="B874" s="212"/>
      <c r="C874" s="213"/>
      <c r="D874" s="212"/>
      <c r="E874" s="212"/>
      <c r="F874" s="212"/>
      <c r="G874" s="212"/>
    </row>
    <row r="875" spans="2:7" ht="17" thickBot="1" x14ac:dyDescent="0.25">
      <c r="B875" s="212"/>
      <c r="C875" s="213"/>
      <c r="D875" s="212"/>
      <c r="E875" s="212"/>
      <c r="F875" s="212"/>
      <c r="G875" s="212"/>
    </row>
    <row r="876" spans="2:7" ht="17" thickTop="1" x14ac:dyDescent="0.2">
      <c r="B876" s="537" t="s">
        <v>50</v>
      </c>
      <c r="C876" s="538"/>
      <c r="D876" s="538"/>
      <c r="E876" s="538"/>
      <c r="F876" s="148"/>
      <c r="G876" s="149" t="s">
        <v>439</v>
      </c>
    </row>
    <row r="877" spans="2:7" x14ac:dyDescent="0.2">
      <c r="B877" s="539"/>
      <c r="C877" s="540"/>
      <c r="D877" s="540"/>
      <c r="E877" s="540"/>
      <c r="F877" s="150"/>
      <c r="G877" s="151" t="s">
        <v>503</v>
      </c>
    </row>
    <row r="878" spans="2:7" x14ac:dyDescent="0.2">
      <c r="B878" s="152" t="s">
        <v>1</v>
      </c>
      <c r="C878" s="153" t="s">
        <v>2</v>
      </c>
      <c r="D878" s="153" t="s">
        <v>3</v>
      </c>
      <c r="E878" s="153" t="s">
        <v>441</v>
      </c>
      <c r="F878" s="154" t="s">
        <v>442</v>
      </c>
      <c r="G878" s="155" t="s">
        <v>443</v>
      </c>
    </row>
    <row r="879" spans="2:7" x14ac:dyDescent="0.2">
      <c r="B879" s="157"/>
      <c r="C879" s="158"/>
      <c r="D879" s="156"/>
      <c r="E879" s="156"/>
      <c r="F879" s="159"/>
      <c r="G879" s="160"/>
    </row>
    <row r="880" spans="2:7" x14ac:dyDescent="0.2">
      <c r="B880" s="161" t="s">
        <v>444</v>
      </c>
      <c r="C880" s="158"/>
      <c r="D880" s="156"/>
      <c r="E880" s="156"/>
      <c r="F880" s="159"/>
      <c r="G880" s="160"/>
    </row>
    <row r="881" spans="2:7" x14ac:dyDescent="0.2">
      <c r="B881" s="162" t="s">
        <v>470</v>
      </c>
      <c r="C881" s="163" t="s">
        <v>2</v>
      </c>
      <c r="D881" s="244">
        <v>0.16</v>
      </c>
      <c r="E881" s="224">
        <v>7.02</v>
      </c>
      <c r="F881" s="166">
        <v>127091.44</v>
      </c>
      <c r="G881" s="167">
        <v>22296.74</v>
      </c>
    </row>
    <row r="882" spans="2:7" x14ac:dyDescent="0.2">
      <c r="B882" s="200"/>
      <c r="C882" s="169"/>
      <c r="D882" s="170"/>
      <c r="E882" s="170"/>
      <c r="F882" s="171"/>
      <c r="G882" s="167"/>
    </row>
    <row r="883" spans="2:7" x14ac:dyDescent="0.2">
      <c r="B883" s="157"/>
      <c r="C883" s="158"/>
      <c r="D883" s="156"/>
      <c r="E883" s="156"/>
      <c r="F883" s="159" t="s">
        <v>446</v>
      </c>
      <c r="G883" s="173">
        <v>22296.74</v>
      </c>
    </row>
    <row r="884" spans="2:7" x14ac:dyDescent="0.2">
      <c r="B884" s="161" t="s">
        <v>447</v>
      </c>
      <c r="C884" s="158"/>
      <c r="D884" s="156"/>
      <c r="E884" s="156"/>
      <c r="F884" s="159"/>
      <c r="G884" s="160"/>
    </row>
    <row r="885" spans="2:7" x14ac:dyDescent="0.2">
      <c r="B885" s="218" t="s">
        <v>448</v>
      </c>
      <c r="C885" s="219" t="s">
        <v>2</v>
      </c>
      <c r="D885" s="228">
        <v>4.21</v>
      </c>
      <c r="E885" s="229"/>
      <c r="F885" s="220">
        <v>1208.1199999999999</v>
      </c>
      <c r="G885" s="221">
        <v>5086.82</v>
      </c>
    </row>
    <row r="886" spans="2:7" x14ac:dyDescent="0.2">
      <c r="B886" s="180"/>
      <c r="C886" s="185"/>
      <c r="D886" s="181"/>
      <c r="E886" s="186"/>
      <c r="F886" s="222"/>
      <c r="G886" s="230"/>
    </row>
    <row r="887" spans="2:7" x14ac:dyDescent="0.2">
      <c r="B887" s="157"/>
      <c r="C887" s="158"/>
      <c r="D887" s="156"/>
      <c r="E887" s="156"/>
      <c r="F887" s="159" t="s">
        <v>449</v>
      </c>
      <c r="G887" s="183">
        <v>5086.82</v>
      </c>
    </row>
    <row r="888" spans="2:7" x14ac:dyDescent="0.2">
      <c r="B888" s="161" t="s">
        <v>450</v>
      </c>
      <c r="C888" s="158"/>
      <c r="D888" s="156"/>
      <c r="E888" s="156"/>
      <c r="F888" s="159"/>
      <c r="G888" s="160"/>
    </row>
    <row r="889" spans="2:7" x14ac:dyDescent="0.2">
      <c r="B889" s="184" t="s">
        <v>451</v>
      </c>
      <c r="C889" s="185" t="s">
        <v>2</v>
      </c>
      <c r="D889" s="178">
        <v>28236.19</v>
      </c>
      <c r="E889" s="186"/>
      <c r="F889" s="187">
        <v>0.02</v>
      </c>
      <c r="G889" s="188">
        <v>564.72</v>
      </c>
    </row>
    <row r="890" spans="2:7" x14ac:dyDescent="0.2">
      <c r="B890" s="157"/>
      <c r="C890" s="158"/>
      <c r="D890" s="156"/>
      <c r="E890" s="156"/>
      <c r="F890" s="159" t="s">
        <v>452</v>
      </c>
      <c r="G890" s="183">
        <v>564.72</v>
      </c>
    </row>
    <row r="891" spans="2:7" x14ac:dyDescent="0.2">
      <c r="B891" s="161" t="s">
        <v>453</v>
      </c>
      <c r="C891" s="158"/>
      <c r="D891" s="156"/>
      <c r="E891" s="156"/>
      <c r="F891" s="159"/>
      <c r="G891" s="160"/>
    </row>
    <row r="892" spans="2:7" x14ac:dyDescent="0.2">
      <c r="B892" s="189" t="s">
        <v>454</v>
      </c>
      <c r="C892" s="190" t="s">
        <v>2</v>
      </c>
      <c r="D892" s="231">
        <v>7.0000000000000001E-3</v>
      </c>
      <c r="E892" s="232"/>
      <c r="F892" s="193">
        <v>121500</v>
      </c>
      <c r="G892" s="194">
        <v>852.63</v>
      </c>
    </row>
    <row r="893" spans="2:7" x14ac:dyDescent="0.2">
      <c r="B893" s="195" t="s">
        <v>455</v>
      </c>
      <c r="C893" s="233" t="s">
        <v>456</v>
      </c>
      <c r="D893" s="234">
        <v>28236.19</v>
      </c>
      <c r="E893" s="226"/>
      <c r="F893" s="235"/>
      <c r="G893" s="199" t="s">
        <v>457</v>
      </c>
    </row>
    <row r="894" spans="2:7" x14ac:dyDescent="0.2">
      <c r="B894" s="195" t="s">
        <v>458</v>
      </c>
      <c r="C894" s="233" t="s">
        <v>456</v>
      </c>
      <c r="D894" s="178">
        <v>28236.19</v>
      </c>
      <c r="E894" s="226"/>
      <c r="F894" s="235"/>
      <c r="G894" s="199" t="s">
        <v>457</v>
      </c>
    </row>
    <row r="895" spans="2:7" x14ac:dyDescent="0.2">
      <c r="B895" s="157"/>
      <c r="C895" s="158"/>
      <c r="D895" s="156"/>
      <c r="E895" s="156"/>
      <c r="F895" s="159" t="s">
        <v>459</v>
      </c>
      <c r="G895" s="173">
        <v>852.63</v>
      </c>
    </row>
    <row r="896" spans="2:7" x14ac:dyDescent="0.2">
      <c r="B896" s="157"/>
      <c r="C896" s="158"/>
      <c r="D896" s="156"/>
      <c r="E896" s="156"/>
      <c r="F896" s="159"/>
      <c r="G896" s="160"/>
    </row>
    <row r="897" spans="2:7" ht="17" thickBot="1" x14ac:dyDescent="0.25">
      <c r="B897" s="206"/>
      <c r="C897" s="207"/>
      <c r="D897" s="208"/>
      <c r="E897" s="209" t="s">
        <v>460</v>
      </c>
      <c r="F897" s="210">
        <v>2999220.34</v>
      </c>
      <c r="G897" s="211">
        <v>28801</v>
      </c>
    </row>
    <row r="898" spans="2:7" ht="17" thickTop="1" x14ac:dyDescent="0.2">
      <c r="B898" s="212"/>
      <c r="C898" s="213"/>
      <c r="D898" s="212"/>
      <c r="E898" s="212"/>
      <c r="F898" s="212"/>
      <c r="G898" s="212"/>
    </row>
    <row r="899" spans="2:7" ht="17" thickBot="1" x14ac:dyDescent="0.25">
      <c r="B899" s="212"/>
      <c r="C899" s="213"/>
      <c r="D899" s="212"/>
      <c r="E899" s="212"/>
      <c r="F899" s="212"/>
      <c r="G899" s="212"/>
    </row>
    <row r="900" spans="2:7" ht="17" thickTop="1" x14ac:dyDescent="0.2">
      <c r="B900" s="537" t="s">
        <v>51</v>
      </c>
      <c r="C900" s="538"/>
      <c r="D900" s="538"/>
      <c r="E900" s="538"/>
      <c r="F900" s="148"/>
      <c r="G900" s="149" t="s">
        <v>439</v>
      </c>
    </row>
    <row r="901" spans="2:7" x14ac:dyDescent="0.2">
      <c r="B901" s="539"/>
      <c r="C901" s="540"/>
      <c r="D901" s="540"/>
      <c r="E901" s="540"/>
      <c r="F901" s="150"/>
      <c r="G901" s="151" t="s">
        <v>504</v>
      </c>
    </row>
    <row r="902" spans="2:7" x14ac:dyDescent="0.2">
      <c r="B902" s="152" t="s">
        <v>1</v>
      </c>
      <c r="C902" s="153" t="s">
        <v>2</v>
      </c>
      <c r="D902" s="153" t="s">
        <v>3</v>
      </c>
      <c r="E902" s="153" t="s">
        <v>441</v>
      </c>
      <c r="F902" s="154" t="s">
        <v>442</v>
      </c>
      <c r="G902" s="155" t="s">
        <v>443</v>
      </c>
    </row>
    <row r="903" spans="2:7" x14ac:dyDescent="0.2">
      <c r="B903" s="157"/>
      <c r="C903" s="158"/>
      <c r="D903" s="156"/>
      <c r="E903" s="156"/>
      <c r="F903" s="159"/>
      <c r="G903" s="160"/>
    </row>
    <row r="904" spans="2:7" x14ac:dyDescent="0.2">
      <c r="B904" s="161" t="s">
        <v>444</v>
      </c>
      <c r="C904" s="158"/>
      <c r="D904" s="156"/>
      <c r="E904" s="156"/>
      <c r="F904" s="159"/>
      <c r="G904" s="160"/>
    </row>
    <row r="905" spans="2:7" x14ac:dyDescent="0.2">
      <c r="B905" s="162" t="s">
        <v>470</v>
      </c>
      <c r="C905" s="163" t="s">
        <v>2</v>
      </c>
      <c r="D905" s="244">
        <v>0.11</v>
      </c>
      <c r="E905" s="224">
        <v>7.02</v>
      </c>
      <c r="F905" s="166">
        <v>127091.44</v>
      </c>
      <c r="G905" s="167">
        <v>15351.85</v>
      </c>
    </row>
    <row r="906" spans="2:7" x14ac:dyDescent="0.2">
      <c r="B906" s="184"/>
      <c r="C906" s="185"/>
      <c r="D906" s="170"/>
      <c r="E906" s="170"/>
      <c r="F906" s="222"/>
      <c r="G906" s="188"/>
    </row>
    <row r="907" spans="2:7" x14ac:dyDescent="0.2">
      <c r="B907" s="157"/>
      <c r="C907" s="158"/>
      <c r="D907" s="156"/>
      <c r="E907" s="156"/>
      <c r="F907" s="159" t="s">
        <v>446</v>
      </c>
      <c r="G907" s="183">
        <v>15351.85</v>
      </c>
    </row>
    <row r="908" spans="2:7" x14ac:dyDescent="0.2">
      <c r="B908" s="161" t="s">
        <v>447</v>
      </c>
      <c r="C908" s="158"/>
      <c r="D908" s="156"/>
      <c r="E908" s="156"/>
      <c r="F908" s="159"/>
      <c r="G908" s="160"/>
    </row>
    <row r="909" spans="2:7" x14ac:dyDescent="0.2">
      <c r="B909" s="218" t="s">
        <v>448</v>
      </c>
      <c r="C909" s="219" t="s">
        <v>2</v>
      </c>
      <c r="D909" s="228">
        <v>1.75</v>
      </c>
      <c r="E909" s="229"/>
      <c r="F909" s="220">
        <v>1208.1199999999999</v>
      </c>
      <c r="G909" s="221">
        <v>2119.5</v>
      </c>
    </row>
    <row r="910" spans="2:7" x14ac:dyDescent="0.2">
      <c r="B910" s="180"/>
      <c r="C910" s="185"/>
      <c r="D910" s="181"/>
      <c r="E910" s="186"/>
      <c r="F910" s="222"/>
      <c r="G910" s="230"/>
    </row>
    <row r="911" spans="2:7" x14ac:dyDescent="0.2">
      <c r="B911" s="157"/>
      <c r="C911" s="158"/>
      <c r="D911" s="156"/>
      <c r="E911" s="156"/>
      <c r="F911" s="159" t="s">
        <v>449</v>
      </c>
      <c r="G911" s="183">
        <v>2119.5</v>
      </c>
    </row>
    <row r="912" spans="2:7" x14ac:dyDescent="0.2">
      <c r="B912" s="161" t="s">
        <v>450</v>
      </c>
      <c r="C912" s="158"/>
      <c r="D912" s="156"/>
      <c r="E912" s="156"/>
      <c r="F912" s="159"/>
      <c r="G912" s="160"/>
    </row>
    <row r="913" spans="2:7" x14ac:dyDescent="0.2">
      <c r="B913" s="184" t="s">
        <v>451</v>
      </c>
      <c r="C913" s="185" t="s">
        <v>2</v>
      </c>
      <c r="D913" s="178">
        <v>18181.87</v>
      </c>
      <c r="E913" s="186"/>
      <c r="F913" s="187">
        <v>0.02</v>
      </c>
      <c r="G913" s="188">
        <v>363.63</v>
      </c>
    </row>
    <row r="914" spans="2:7" x14ac:dyDescent="0.2">
      <c r="B914" s="157"/>
      <c r="C914" s="158"/>
      <c r="D914" s="156"/>
      <c r="E914" s="156"/>
      <c r="F914" s="159" t="s">
        <v>452</v>
      </c>
      <c r="G914" s="183">
        <v>363.63</v>
      </c>
    </row>
    <row r="915" spans="2:7" x14ac:dyDescent="0.2">
      <c r="B915" s="161" t="s">
        <v>453</v>
      </c>
      <c r="C915" s="158"/>
      <c r="D915" s="156"/>
      <c r="E915" s="156"/>
      <c r="F915" s="159"/>
      <c r="G915" s="160"/>
    </row>
    <row r="916" spans="2:7" x14ac:dyDescent="0.2">
      <c r="B916" s="189" t="s">
        <v>454</v>
      </c>
      <c r="C916" s="190" t="s">
        <v>2</v>
      </c>
      <c r="D916" s="231">
        <v>6.0000000000000001E-3</v>
      </c>
      <c r="E916" s="232"/>
      <c r="F916" s="193">
        <v>121500</v>
      </c>
      <c r="G916" s="194">
        <v>710.52</v>
      </c>
    </row>
    <row r="917" spans="2:7" x14ac:dyDescent="0.2">
      <c r="B917" s="195" t="s">
        <v>455</v>
      </c>
      <c r="C917" s="233" t="s">
        <v>456</v>
      </c>
      <c r="D917" s="234">
        <v>18181.87</v>
      </c>
      <c r="E917" s="226"/>
      <c r="F917" s="235"/>
      <c r="G917" s="199" t="s">
        <v>457</v>
      </c>
    </row>
    <row r="918" spans="2:7" x14ac:dyDescent="0.2">
      <c r="B918" s="200" t="s">
        <v>458</v>
      </c>
      <c r="C918" s="169" t="s">
        <v>456</v>
      </c>
      <c r="D918" s="178">
        <v>18181.87</v>
      </c>
      <c r="E918" s="170"/>
      <c r="F918" s="238"/>
      <c r="G918" s="204" t="s">
        <v>457</v>
      </c>
    </row>
    <row r="919" spans="2:7" x14ac:dyDescent="0.2">
      <c r="B919" s="180"/>
      <c r="C919" s="169"/>
      <c r="D919" s="205"/>
      <c r="E919" s="170"/>
      <c r="F919" s="171"/>
      <c r="G919" s="230"/>
    </row>
    <row r="920" spans="2:7" x14ac:dyDescent="0.2">
      <c r="B920" s="157"/>
      <c r="C920" s="158"/>
      <c r="D920" s="156"/>
      <c r="E920" s="156"/>
      <c r="F920" s="159" t="s">
        <v>459</v>
      </c>
      <c r="G920" s="183">
        <v>710.52</v>
      </c>
    </row>
    <row r="921" spans="2:7" x14ac:dyDescent="0.2">
      <c r="B921" s="157"/>
      <c r="C921" s="158"/>
      <c r="D921" s="156"/>
      <c r="E921" s="156"/>
      <c r="F921" s="159"/>
      <c r="G921" s="160"/>
    </row>
    <row r="922" spans="2:7" ht="17" thickBot="1" x14ac:dyDescent="0.25">
      <c r="B922" s="206"/>
      <c r="C922" s="207"/>
      <c r="D922" s="208"/>
      <c r="E922" s="209" t="s">
        <v>460</v>
      </c>
      <c r="F922" s="210">
        <v>10656.53</v>
      </c>
      <c r="G922" s="211">
        <v>18546</v>
      </c>
    </row>
    <row r="923" spans="2:7" ht="17" thickTop="1" x14ac:dyDescent="0.2">
      <c r="B923" s="212"/>
      <c r="C923" s="213"/>
      <c r="D923" s="212"/>
      <c r="E923" s="212"/>
      <c r="F923" s="212"/>
      <c r="G923" s="212"/>
    </row>
    <row r="924" spans="2:7" ht="17" thickBot="1" x14ac:dyDescent="0.25">
      <c r="B924" s="212"/>
      <c r="C924" s="213"/>
      <c r="D924" s="212"/>
      <c r="E924" s="212"/>
      <c r="F924" s="212"/>
      <c r="G924" s="212"/>
    </row>
    <row r="925" spans="2:7" ht="17" thickTop="1" x14ac:dyDescent="0.2">
      <c r="B925" s="537" t="s">
        <v>52</v>
      </c>
      <c r="C925" s="538"/>
      <c r="D925" s="538"/>
      <c r="E925" s="538"/>
      <c r="F925" s="148"/>
      <c r="G925" s="149" t="s">
        <v>439</v>
      </c>
    </row>
    <row r="926" spans="2:7" x14ac:dyDescent="0.2">
      <c r="B926" s="539"/>
      <c r="C926" s="540"/>
      <c r="D926" s="540"/>
      <c r="E926" s="540"/>
      <c r="F926" s="150"/>
      <c r="G926" s="151" t="s">
        <v>505</v>
      </c>
    </row>
    <row r="927" spans="2:7" x14ac:dyDescent="0.2">
      <c r="B927" s="152" t="s">
        <v>1</v>
      </c>
      <c r="C927" s="153" t="s">
        <v>2</v>
      </c>
      <c r="D927" s="153" t="s">
        <v>3</v>
      </c>
      <c r="E927" s="153" t="s">
        <v>441</v>
      </c>
      <c r="F927" s="154" t="s">
        <v>442</v>
      </c>
      <c r="G927" s="155" t="s">
        <v>443</v>
      </c>
    </row>
    <row r="928" spans="2:7" x14ac:dyDescent="0.2">
      <c r="B928" s="157"/>
      <c r="C928" s="158"/>
      <c r="D928" s="156"/>
      <c r="E928" s="156"/>
      <c r="F928" s="159"/>
      <c r="G928" s="160"/>
    </row>
    <row r="929" spans="2:7" x14ac:dyDescent="0.2">
      <c r="B929" s="161" t="s">
        <v>444</v>
      </c>
      <c r="C929" s="158"/>
      <c r="D929" s="156"/>
      <c r="E929" s="156"/>
      <c r="F929" s="159"/>
      <c r="G929" s="160"/>
    </row>
    <row r="930" spans="2:7" x14ac:dyDescent="0.2">
      <c r="B930" s="162" t="s">
        <v>470</v>
      </c>
      <c r="C930" s="163" t="s">
        <v>2</v>
      </c>
      <c r="D930" s="244">
        <v>0.09</v>
      </c>
      <c r="E930" s="224">
        <v>7.02</v>
      </c>
      <c r="F930" s="166">
        <v>127091.44</v>
      </c>
      <c r="G930" s="167">
        <v>11696.65</v>
      </c>
    </row>
    <row r="931" spans="2:7" x14ac:dyDescent="0.2">
      <c r="B931" s="184"/>
      <c r="C931" s="185"/>
      <c r="D931" s="170"/>
      <c r="E931" s="170"/>
      <c r="F931" s="222"/>
      <c r="G931" s="188"/>
    </row>
    <row r="932" spans="2:7" x14ac:dyDescent="0.2">
      <c r="B932" s="157"/>
      <c r="C932" s="158"/>
      <c r="D932" s="156"/>
      <c r="E932" s="156"/>
      <c r="F932" s="159" t="s">
        <v>446</v>
      </c>
      <c r="G932" s="183">
        <v>11696.65</v>
      </c>
    </row>
    <row r="933" spans="2:7" x14ac:dyDescent="0.2">
      <c r="B933" s="161" t="s">
        <v>447</v>
      </c>
      <c r="C933" s="158"/>
      <c r="D933" s="156"/>
      <c r="E933" s="156"/>
      <c r="F933" s="159"/>
      <c r="G933" s="160"/>
    </row>
    <row r="934" spans="2:7" x14ac:dyDescent="0.2">
      <c r="B934" s="218" t="s">
        <v>448</v>
      </c>
      <c r="C934" s="219" t="s">
        <v>2</v>
      </c>
      <c r="D934" s="228">
        <v>1.75</v>
      </c>
      <c r="E934" s="229"/>
      <c r="F934" s="220">
        <v>1208.1199999999999</v>
      </c>
      <c r="G934" s="221">
        <v>2119.5</v>
      </c>
    </row>
    <row r="935" spans="2:7" x14ac:dyDescent="0.2">
      <c r="B935" s="180"/>
      <c r="C935" s="185"/>
      <c r="D935" s="181"/>
      <c r="E935" s="186"/>
      <c r="F935" s="222"/>
      <c r="G935" s="230"/>
    </row>
    <row r="936" spans="2:7" x14ac:dyDescent="0.2">
      <c r="B936" s="157"/>
      <c r="C936" s="158"/>
      <c r="D936" s="156"/>
      <c r="E936" s="156"/>
      <c r="F936" s="159" t="s">
        <v>449</v>
      </c>
      <c r="G936" s="183">
        <v>2119.5</v>
      </c>
    </row>
    <row r="937" spans="2:7" x14ac:dyDescent="0.2">
      <c r="B937" s="161" t="s">
        <v>450</v>
      </c>
      <c r="C937" s="158"/>
      <c r="D937" s="156"/>
      <c r="E937" s="156"/>
      <c r="F937" s="159"/>
      <c r="G937" s="160"/>
    </row>
    <row r="938" spans="2:7" x14ac:dyDescent="0.2">
      <c r="B938" s="184" t="s">
        <v>451</v>
      </c>
      <c r="C938" s="185" t="s">
        <v>2</v>
      </c>
      <c r="D938" s="178">
        <v>14425.17</v>
      </c>
      <c r="E938" s="186"/>
      <c r="F938" s="187">
        <v>0.02</v>
      </c>
      <c r="G938" s="188">
        <v>288.5</v>
      </c>
    </row>
    <row r="939" spans="2:7" x14ac:dyDescent="0.2">
      <c r="B939" s="157"/>
      <c r="C939" s="158"/>
      <c r="D939" s="156"/>
      <c r="E939" s="156"/>
      <c r="F939" s="159" t="s">
        <v>452</v>
      </c>
      <c r="G939" s="183">
        <v>288.5</v>
      </c>
    </row>
    <row r="940" spans="2:7" x14ac:dyDescent="0.2">
      <c r="B940" s="161" t="s">
        <v>453</v>
      </c>
      <c r="C940" s="158"/>
      <c r="D940" s="156"/>
      <c r="E940" s="156"/>
      <c r="F940" s="159"/>
      <c r="G940" s="160"/>
    </row>
    <row r="941" spans="2:7" x14ac:dyDescent="0.2">
      <c r="B941" s="189" t="s">
        <v>454</v>
      </c>
      <c r="C941" s="190" t="s">
        <v>2</v>
      </c>
      <c r="D941" s="231">
        <v>5.0000000000000001E-3</v>
      </c>
      <c r="E941" s="232"/>
      <c r="F941" s="193">
        <v>121500</v>
      </c>
      <c r="G941" s="194">
        <v>609.02</v>
      </c>
    </row>
    <row r="942" spans="2:7" x14ac:dyDescent="0.2">
      <c r="B942" s="195" t="s">
        <v>455</v>
      </c>
      <c r="C942" s="233" t="s">
        <v>456</v>
      </c>
      <c r="D942" s="234">
        <v>14425.17</v>
      </c>
      <c r="E942" s="226"/>
      <c r="F942" s="235"/>
      <c r="G942" s="199" t="s">
        <v>457</v>
      </c>
    </row>
    <row r="943" spans="2:7" x14ac:dyDescent="0.2">
      <c r="B943" s="195" t="s">
        <v>458</v>
      </c>
      <c r="C943" s="233" t="s">
        <v>456</v>
      </c>
      <c r="D943" s="178">
        <v>14425.17</v>
      </c>
      <c r="E943" s="226"/>
      <c r="F943" s="235"/>
      <c r="G943" s="199" t="s">
        <v>457</v>
      </c>
    </row>
    <row r="944" spans="2:7" x14ac:dyDescent="0.2">
      <c r="B944" s="157"/>
      <c r="C944" s="158"/>
      <c r="D944" s="156"/>
      <c r="E944" s="156"/>
      <c r="F944" s="159" t="s">
        <v>459</v>
      </c>
      <c r="G944" s="173">
        <v>609.02</v>
      </c>
    </row>
    <row r="945" spans="2:7" x14ac:dyDescent="0.2">
      <c r="B945" s="157"/>
      <c r="C945" s="158"/>
      <c r="D945" s="156"/>
      <c r="E945" s="156"/>
      <c r="F945" s="159"/>
      <c r="G945" s="160"/>
    </row>
    <row r="946" spans="2:7" ht="17" thickBot="1" x14ac:dyDescent="0.25">
      <c r="B946" s="206"/>
      <c r="C946" s="207"/>
      <c r="D946" s="208"/>
      <c r="E946" s="209" t="s">
        <v>460</v>
      </c>
      <c r="F946" s="210">
        <v>7429.84</v>
      </c>
      <c r="G946" s="211">
        <v>14714</v>
      </c>
    </row>
    <row r="947" spans="2:7" ht="17" thickTop="1" x14ac:dyDescent="0.2">
      <c r="B947" s="212"/>
      <c r="C947" s="213"/>
      <c r="D947" s="212"/>
      <c r="E947" s="212"/>
      <c r="F947" s="212"/>
      <c r="G947" s="212"/>
    </row>
    <row r="948" spans="2:7" ht="17" thickBot="1" x14ac:dyDescent="0.25">
      <c r="B948" s="212"/>
      <c r="C948" s="213"/>
      <c r="D948" s="212"/>
      <c r="E948" s="212"/>
      <c r="F948" s="212"/>
      <c r="G948" s="212"/>
    </row>
    <row r="949" spans="2:7" ht="17" thickTop="1" x14ac:dyDescent="0.2">
      <c r="B949" s="537" t="s">
        <v>53</v>
      </c>
      <c r="C949" s="538"/>
      <c r="D949" s="538"/>
      <c r="E949" s="538"/>
      <c r="F949" s="148"/>
      <c r="G949" s="149" t="s">
        <v>439</v>
      </c>
    </row>
    <row r="950" spans="2:7" x14ac:dyDescent="0.2">
      <c r="B950" s="539"/>
      <c r="C950" s="540"/>
      <c r="D950" s="540"/>
      <c r="E950" s="540"/>
      <c r="F950" s="150"/>
      <c r="G950" s="151" t="s">
        <v>506</v>
      </c>
    </row>
    <row r="951" spans="2:7" x14ac:dyDescent="0.2">
      <c r="B951" s="152" t="s">
        <v>1</v>
      </c>
      <c r="C951" s="153" t="s">
        <v>2</v>
      </c>
      <c r="D951" s="153" t="s">
        <v>3</v>
      </c>
      <c r="E951" s="153" t="s">
        <v>441</v>
      </c>
      <c r="F951" s="154" t="s">
        <v>442</v>
      </c>
      <c r="G951" s="155" t="s">
        <v>443</v>
      </c>
    </row>
    <row r="952" spans="2:7" x14ac:dyDescent="0.2">
      <c r="B952" s="157"/>
      <c r="C952" s="158"/>
      <c r="D952" s="156"/>
      <c r="E952" s="156"/>
      <c r="F952" s="159"/>
      <c r="G952" s="160"/>
    </row>
    <row r="953" spans="2:7" x14ac:dyDescent="0.2">
      <c r="B953" s="161" t="s">
        <v>444</v>
      </c>
      <c r="C953" s="158"/>
      <c r="D953" s="156"/>
      <c r="E953" s="156"/>
      <c r="F953" s="159"/>
      <c r="G953" s="160"/>
    </row>
    <row r="954" spans="2:7" x14ac:dyDescent="0.2">
      <c r="B954" s="162" t="s">
        <v>470</v>
      </c>
      <c r="C954" s="163" t="s">
        <v>2</v>
      </c>
      <c r="D954" s="244">
        <v>0.06</v>
      </c>
      <c r="E954" s="224">
        <v>7.02</v>
      </c>
      <c r="F954" s="166">
        <v>127091.44</v>
      </c>
      <c r="G954" s="167">
        <v>8041.44</v>
      </c>
    </row>
    <row r="955" spans="2:7" x14ac:dyDescent="0.2">
      <c r="B955" s="184"/>
      <c r="C955" s="185"/>
      <c r="D955" s="170"/>
      <c r="E955" s="170"/>
      <c r="F955" s="222"/>
      <c r="G955" s="188"/>
    </row>
    <row r="956" spans="2:7" x14ac:dyDescent="0.2">
      <c r="B956" s="157"/>
      <c r="C956" s="158"/>
      <c r="D956" s="156"/>
      <c r="E956" s="156"/>
      <c r="F956" s="159" t="s">
        <v>446</v>
      </c>
      <c r="G956" s="183">
        <v>8041.44</v>
      </c>
    </row>
    <row r="957" spans="2:7" x14ac:dyDescent="0.2">
      <c r="B957" s="161" t="s">
        <v>447</v>
      </c>
      <c r="C957" s="158"/>
      <c r="D957" s="156"/>
      <c r="E957" s="156"/>
      <c r="F957" s="159"/>
      <c r="G957" s="160"/>
    </row>
    <row r="958" spans="2:7" x14ac:dyDescent="0.2">
      <c r="B958" s="218" t="s">
        <v>448</v>
      </c>
      <c r="C958" s="219" t="s">
        <v>2</v>
      </c>
      <c r="D958" s="228">
        <v>1.23</v>
      </c>
      <c r="E958" s="229"/>
      <c r="F958" s="220">
        <v>1208.1199999999999</v>
      </c>
      <c r="G958" s="221">
        <v>1483.65</v>
      </c>
    </row>
    <row r="959" spans="2:7" x14ac:dyDescent="0.2">
      <c r="B959" s="180"/>
      <c r="C959" s="185"/>
      <c r="D959" s="181"/>
      <c r="E959" s="186"/>
      <c r="F959" s="222"/>
      <c r="G959" s="230"/>
    </row>
    <row r="960" spans="2:7" x14ac:dyDescent="0.2">
      <c r="B960" s="157"/>
      <c r="C960" s="158"/>
      <c r="D960" s="156"/>
      <c r="E960" s="156"/>
      <c r="F960" s="159" t="s">
        <v>449</v>
      </c>
      <c r="G960" s="183">
        <v>1483.65</v>
      </c>
    </row>
    <row r="961" spans="2:7" x14ac:dyDescent="0.2">
      <c r="B961" s="161" t="s">
        <v>450</v>
      </c>
      <c r="C961" s="158"/>
      <c r="D961" s="156"/>
      <c r="E961" s="156"/>
      <c r="F961" s="159"/>
      <c r="G961" s="160"/>
    </row>
    <row r="962" spans="2:7" x14ac:dyDescent="0.2">
      <c r="B962" s="184" t="s">
        <v>451</v>
      </c>
      <c r="C962" s="185" t="s">
        <v>2</v>
      </c>
      <c r="D962" s="178">
        <v>10057.98</v>
      </c>
      <c r="E962" s="186"/>
      <c r="F962" s="187">
        <v>0.02</v>
      </c>
      <c r="G962" s="188">
        <v>201.15</v>
      </c>
    </row>
    <row r="963" spans="2:7" x14ac:dyDescent="0.2">
      <c r="B963" s="157"/>
      <c r="C963" s="158"/>
      <c r="D963" s="156"/>
      <c r="E963" s="156"/>
      <c r="F963" s="159" t="s">
        <v>452</v>
      </c>
      <c r="G963" s="183">
        <v>201.15</v>
      </c>
    </row>
    <row r="964" spans="2:7" x14ac:dyDescent="0.2">
      <c r="B964" s="161" t="s">
        <v>453</v>
      </c>
      <c r="C964" s="158"/>
      <c r="D964" s="156"/>
      <c r="E964" s="156"/>
      <c r="F964" s="159"/>
      <c r="G964" s="160"/>
    </row>
    <row r="965" spans="2:7" x14ac:dyDescent="0.2">
      <c r="B965" s="189" t="s">
        <v>454</v>
      </c>
      <c r="C965" s="190" t="s">
        <v>2</v>
      </c>
      <c r="D965" s="231">
        <v>4.0000000000000001E-3</v>
      </c>
      <c r="E965" s="232"/>
      <c r="F965" s="193">
        <v>121500</v>
      </c>
      <c r="G965" s="194">
        <v>532.89</v>
      </c>
    </row>
    <row r="966" spans="2:7" x14ac:dyDescent="0.2">
      <c r="B966" s="195" t="s">
        <v>455</v>
      </c>
      <c r="C966" s="233" t="s">
        <v>456</v>
      </c>
      <c r="D966" s="234">
        <v>10057.98</v>
      </c>
      <c r="E966" s="226"/>
      <c r="F966" s="235"/>
      <c r="G966" s="199" t="s">
        <v>457</v>
      </c>
    </row>
    <row r="967" spans="2:7" x14ac:dyDescent="0.2">
      <c r="B967" s="200" t="s">
        <v>458</v>
      </c>
      <c r="C967" s="169" t="s">
        <v>456</v>
      </c>
      <c r="D967" s="178">
        <v>10057.98</v>
      </c>
      <c r="E967" s="170"/>
      <c r="F967" s="238"/>
      <c r="G967" s="204" t="s">
        <v>457</v>
      </c>
    </row>
    <row r="968" spans="2:7" x14ac:dyDescent="0.2">
      <c r="B968" s="180"/>
      <c r="C968" s="169"/>
      <c r="D968" s="205"/>
      <c r="E968" s="170"/>
      <c r="F968" s="171"/>
      <c r="G968" s="230"/>
    </row>
    <row r="969" spans="2:7" x14ac:dyDescent="0.2">
      <c r="B969" s="157"/>
      <c r="C969" s="158"/>
      <c r="D969" s="156"/>
      <c r="E969" s="156"/>
      <c r="F969" s="159" t="s">
        <v>459</v>
      </c>
      <c r="G969" s="183">
        <v>532.89</v>
      </c>
    </row>
    <row r="970" spans="2:7" x14ac:dyDescent="0.2">
      <c r="B970" s="157"/>
      <c r="C970" s="158"/>
      <c r="D970" s="156"/>
      <c r="E970" s="156"/>
      <c r="F970" s="159"/>
      <c r="G970" s="160"/>
    </row>
    <row r="971" spans="2:7" ht="17" thickBot="1" x14ac:dyDescent="0.25">
      <c r="B971" s="206"/>
      <c r="C971" s="207"/>
      <c r="D971" s="208"/>
      <c r="E971" s="209" t="s">
        <v>460</v>
      </c>
      <c r="F971" s="210">
        <v>106592.71</v>
      </c>
      <c r="G971" s="211">
        <v>10259</v>
      </c>
    </row>
    <row r="972" spans="2:7" ht="17" thickTop="1" x14ac:dyDescent="0.2">
      <c r="B972" s="212"/>
      <c r="C972" s="213"/>
      <c r="D972" s="212"/>
      <c r="E972" s="212"/>
      <c r="F972" s="212"/>
      <c r="G972" s="212"/>
    </row>
    <row r="973" spans="2:7" x14ac:dyDescent="0.2">
      <c r="B973" s="212"/>
      <c r="C973" s="213"/>
      <c r="D973" s="212"/>
      <c r="E973" s="212"/>
      <c r="F973" s="212"/>
      <c r="G973" s="212"/>
    </row>
    <row r="974" spans="2:7" ht="17" thickBot="1" x14ac:dyDescent="0.25">
      <c r="B974" s="212"/>
      <c r="C974" s="213"/>
      <c r="D974" s="212"/>
      <c r="E974" s="212"/>
      <c r="F974" s="212"/>
      <c r="G974" s="212"/>
    </row>
    <row r="975" spans="2:7" ht="17" thickTop="1" x14ac:dyDescent="0.2">
      <c r="B975" s="537" t="s">
        <v>507</v>
      </c>
      <c r="C975" s="538"/>
      <c r="D975" s="538"/>
      <c r="E975" s="538"/>
      <c r="F975" s="148"/>
      <c r="G975" s="149" t="s">
        <v>439</v>
      </c>
    </row>
    <row r="976" spans="2:7" x14ac:dyDescent="0.2">
      <c r="B976" s="539"/>
      <c r="C976" s="540"/>
      <c r="D976" s="540"/>
      <c r="E976" s="540"/>
      <c r="F976" s="150"/>
      <c r="G976" s="151" t="s">
        <v>508</v>
      </c>
    </row>
    <row r="977" spans="2:7" x14ac:dyDescent="0.2">
      <c r="B977" s="152" t="s">
        <v>1</v>
      </c>
      <c r="C977" s="153" t="s">
        <v>2</v>
      </c>
      <c r="D977" s="153" t="s">
        <v>3</v>
      </c>
      <c r="E977" s="153" t="s">
        <v>441</v>
      </c>
      <c r="F977" s="154" t="s">
        <v>442</v>
      </c>
      <c r="G977" s="155" t="s">
        <v>443</v>
      </c>
    </row>
    <row r="978" spans="2:7" x14ac:dyDescent="0.2">
      <c r="B978" s="157"/>
      <c r="C978" s="158"/>
      <c r="D978" s="156"/>
      <c r="E978" s="156"/>
      <c r="F978" s="159"/>
      <c r="G978" s="160"/>
    </row>
    <row r="979" spans="2:7" x14ac:dyDescent="0.2">
      <c r="B979" s="161" t="s">
        <v>444</v>
      </c>
      <c r="C979" s="158"/>
      <c r="D979" s="156"/>
      <c r="E979" s="156"/>
      <c r="F979" s="159"/>
      <c r="G979" s="160"/>
    </row>
    <row r="980" spans="2:7" x14ac:dyDescent="0.2">
      <c r="B980" s="162" t="s">
        <v>479</v>
      </c>
      <c r="C980" s="163" t="s">
        <v>8</v>
      </c>
      <c r="D980" s="164">
        <v>2</v>
      </c>
      <c r="E980" s="224">
        <v>7.02</v>
      </c>
      <c r="F980" s="166">
        <v>25261.25</v>
      </c>
      <c r="G980" s="167">
        <v>54067.93</v>
      </c>
    </row>
    <row r="981" spans="2:7" x14ac:dyDescent="0.2">
      <c r="B981" s="168"/>
      <c r="C981" s="225"/>
      <c r="D981" s="170"/>
      <c r="E981" s="226"/>
      <c r="F981" s="227"/>
      <c r="G981" s="172"/>
    </row>
    <row r="982" spans="2:7" x14ac:dyDescent="0.2">
      <c r="B982" s="157"/>
      <c r="C982" s="158"/>
      <c r="D982" s="156"/>
      <c r="E982" s="156"/>
      <c r="F982" s="159" t="s">
        <v>446</v>
      </c>
      <c r="G982" s="183">
        <v>54067.93</v>
      </c>
    </row>
    <row r="983" spans="2:7" x14ac:dyDescent="0.2">
      <c r="B983" s="161" t="s">
        <v>447</v>
      </c>
      <c r="C983" s="158"/>
      <c r="D983" s="156"/>
      <c r="E983" s="156"/>
      <c r="F983" s="159"/>
      <c r="G983" s="160"/>
    </row>
    <row r="984" spans="2:7" x14ac:dyDescent="0.2">
      <c r="B984" s="218" t="s">
        <v>448</v>
      </c>
      <c r="C984" s="219" t="s">
        <v>2</v>
      </c>
      <c r="D984" s="228">
        <v>6.32</v>
      </c>
      <c r="E984" s="229"/>
      <c r="F984" s="220">
        <v>1208.1199999999999</v>
      </c>
      <c r="G984" s="221">
        <v>7630.23</v>
      </c>
    </row>
    <row r="985" spans="2:7" x14ac:dyDescent="0.2">
      <c r="B985" s="180"/>
      <c r="C985" s="185"/>
      <c r="D985" s="181"/>
      <c r="E985" s="186"/>
      <c r="F985" s="222"/>
      <c r="G985" s="230"/>
    </row>
    <row r="986" spans="2:7" x14ac:dyDescent="0.2">
      <c r="B986" s="157"/>
      <c r="C986" s="158"/>
      <c r="D986" s="156"/>
      <c r="E986" s="156"/>
      <c r="F986" s="159" t="s">
        <v>449</v>
      </c>
      <c r="G986" s="183">
        <v>7630.23</v>
      </c>
    </row>
    <row r="987" spans="2:7" x14ac:dyDescent="0.2">
      <c r="B987" s="161" t="s">
        <v>450</v>
      </c>
      <c r="C987" s="158"/>
      <c r="D987" s="156"/>
      <c r="E987" s="156"/>
      <c r="F987" s="159"/>
      <c r="G987" s="160"/>
    </row>
    <row r="988" spans="2:7" x14ac:dyDescent="0.2">
      <c r="B988" s="184" t="s">
        <v>451</v>
      </c>
      <c r="C988" s="185" t="s">
        <v>2</v>
      </c>
      <c r="D988" s="178">
        <v>66813.94</v>
      </c>
      <c r="E988" s="186"/>
      <c r="F988" s="187">
        <v>0.02</v>
      </c>
      <c r="G988" s="188">
        <v>1336.27</v>
      </c>
    </row>
    <row r="989" spans="2:7" x14ac:dyDescent="0.2">
      <c r="B989" s="157"/>
      <c r="C989" s="158"/>
      <c r="D989" s="156"/>
      <c r="E989" s="156"/>
      <c r="F989" s="159" t="s">
        <v>452</v>
      </c>
      <c r="G989" s="183">
        <v>1336.27</v>
      </c>
    </row>
    <row r="990" spans="2:7" x14ac:dyDescent="0.2">
      <c r="B990" s="161" t="s">
        <v>453</v>
      </c>
      <c r="C990" s="158"/>
      <c r="D990" s="156"/>
      <c r="E990" s="156"/>
      <c r="F990" s="159"/>
      <c r="G990" s="160"/>
    </row>
    <row r="991" spans="2:7" x14ac:dyDescent="0.2">
      <c r="B991" s="189" t="s">
        <v>454</v>
      </c>
      <c r="C991" s="190" t="s">
        <v>2</v>
      </c>
      <c r="D991" s="231">
        <v>4.2000000000000003E-2</v>
      </c>
      <c r="E991" s="232"/>
      <c r="F991" s="193">
        <v>121500</v>
      </c>
      <c r="G991" s="194">
        <v>5115.78</v>
      </c>
    </row>
    <row r="992" spans="2:7" x14ac:dyDescent="0.2">
      <c r="B992" s="195" t="s">
        <v>455</v>
      </c>
      <c r="C992" s="233" t="s">
        <v>456</v>
      </c>
      <c r="D992" s="234">
        <v>66813.94</v>
      </c>
      <c r="E992" s="226"/>
      <c r="F992" s="235"/>
      <c r="G992" s="199" t="s">
        <v>457</v>
      </c>
    </row>
    <row r="993" spans="2:7" x14ac:dyDescent="0.2">
      <c r="B993" s="195" t="s">
        <v>458</v>
      </c>
      <c r="C993" s="233" t="s">
        <v>456</v>
      </c>
      <c r="D993" s="178">
        <v>66813.94</v>
      </c>
      <c r="E993" s="226"/>
      <c r="F993" s="235"/>
      <c r="G993" s="199" t="s">
        <v>457</v>
      </c>
    </row>
    <row r="994" spans="2:7" x14ac:dyDescent="0.2">
      <c r="B994" s="236"/>
      <c r="C994" s="185"/>
      <c r="D994" s="205"/>
      <c r="E994" s="186"/>
      <c r="F994" s="222"/>
      <c r="G994" s="237"/>
    </row>
    <row r="995" spans="2:7" x14ac:dyDescent="0.2">
      <c r="B995" s="157"/>
      <c r="C995" s="158"/>
      <c r="D995" s="156"/>
      <c r="E995" s="156"/>
      <c r="F995" s="159" t="s">
        <v>459</v>
      </c>
      <c r="G995" s="183">
        <v>5115.78</v>
      </c>
    </row>
    <row r="996" spans="2:7" x14ac:dyDescent="0.2">
      <c r="B996" s="157"/>
      <c r="C996" s="158"/>
      <c r="D996" s="156"/>
      <c r="E996" s="156"/>
      <c r="F996" s="159"/>
      <c r="G996" s="160"/>
    </row>
    <row r="997" spans="2:7" ht="17" thickBot="1" x14ac:dyDescent="0.25">
      <c r="B997" s="206"/>
      <c r="C997" s="207"/>
      <c r="D997" s="208"/>
      <c r="E997" s="209" t="s">
        <v>460</v>
      </c>
      <c r="F997" s="210">
        <v>15840.78</v>
      </c>
      <c r="G997" s="211">
        <v>68150</v>
      </c>
    </row>
    <row r="998" spans="2:7" ht="17" thickTop="1" x14ac:dyDescent="0.2">
      <c r="B998" s="212"/>
      <c r="C998" s="213"/>
      <c r="D998" s="212"/>
      <c r="E998" s="212"/>
      <c r="F998" s="212"/>
      <c r="G998" s="212"/>
    </row>
    <row r="999" spans="2:7" ht="17" thickBot="1" x14ac:dyDescent="0.25">
      <c r="B999" s="212"/>
      <c r="C999" s="213"/>
      <c r="D999" s="212"/>
      <c r="E999" s="212"/>
      <c r="F999" s="212"/>
      <c r="G999" s="212"/>
    </row>
    <row r="1000" spans="2:7" ht="17" thickTop="1" x14ac:dyDescent="0.2">
      <c r="B1000" s="537" t="s">
        <v>56</v>
      </c>
      <c r="C1000" s="538"/>
      <c r="D1000" s="538"/>
      <c r="E1000" s="538"/>
      <c r="F1000" s="148"/>
      <c r="G1000" s="149" t="s">
        <v>439</v>
      </c>
    </row>
    <row r="1001" spans="2:7" x14ac:dyDescent="0.2">
      <c r="B1001" s="539"/>
      <c r="C1001" s="540"/>
      <c r="D1001" s="540"/>
      <c r="E1001" s="540"/>
      <c r="F1001" s="150"/>
      <c r="G1001" s="151" t="s">
        <v>509</v>
      </c>
    </row>
    <row r="1002" spans="2:7" x14ac:dyDescent="0.2">
      <c r="B1002" s="152" t="s">
        <v>1</v>
      </c>
      <c r="C1002" s="153" t="s">
        <v>2</v>
      </c>
      <c r="D1002" s="153" t="s">
        <v>3</v>
      </c>
      <c r="E1002" s="153" t="s">
        <v>441</v>
      </c>
      <c r="F1002" s="154" t="s">
        <v>442</v>
      </c>
      <c r="G1002" s="155" t="s">
        <v>443</v>
      </c>
    </row>
    <row r="1003" spans="2:7" x14ac:dyDescent="0.2">
      <c r="B1003" s="157"/>
      <c r="C1003" s="158"/>
      <c r="D1003" s="156"/>
      <c r="E1003" s="156"/>
      <c r="F1003" s="159"/>
      <c r="G1003" s="160"/>
    </row>
    <row r="1004" spans="2:7" x14ac:dyDescent="0.2">
      <c r="B1004" s="161" t="s">
        <v>444</v>
      </c>
      <c r="C1004" s="158"/>
      <c r="D1004" s="156"/>
      <c r="E1004" s="156"/>
      <c r="F1004" s="159"/>
      <c r="G1004" s="160"/>
    </row>
    <row r="1005" spans="2:7" x14ac:dyDescent="0.2">
      <c r="B1005" s="162" t="s">
        <v>479</v>
      </c>
      <c r="C1005" s="163" t="s">
        <v>8</v>
      </c>
      <c r="D1005" s="164">
        <v>1</v>
      </c>
      <c r="E1005" s="224">
        <v>7.02</v>
      </c>
      <c r="F1005" s="166">
        <v>25261.25</v>
      </c>
      <c r="G1005" s="167">
        <v>27033.96</v>
      </c>
    </row>
    <row r="1006" spans="2:7" x14ac:dyDescent="0.2">
      <c r="B1006" s="200"/>
      <c r="C1006" s="169"/>
      <c r="D1006" s="170"/>
      <c r="E1006" s="170"/>
      <c r="F1006" s="171"/>
      <c r="G1006" s="204"/>
    </row>
    <row r="1007" spans="2:7" x14ac:dyDescent="0.2">
      <c r="B1007" s="157"/>
      <c r="C1007" s="158"/>
      <c r="D1007" s="156"/>
      <c r="E1007" s="156"/>
      <c r="F1007" s="159" t="s">
        <v>446</v>
      </c>
      <c r="G1007" s="183">
        <v>27033.96</v>
      </c>
    </row>
    <row r="1008" spans="2:7" x14ac:dyDescent="0.2">
      <c r="B1008" s="161" t="s">
        <v>447</v>
      </c>
      <c r="C1008" s="158"/>
      <c r="D1008" s="156"/>
      <c r="E1008" s="156"/>
      <c r="F1008" s="159"/>
      <c r="G1008" s="160"/>
    </row>
    <row r="1009" spans="2:7" x14ac:dyDescent="0.2">
      <c r="B1009" s="218" t="s">
        <v>448</v>
      </c>
      <c r="C1009" s="219" t="s">
        <v>2</v>
      </c>
      <c r="D1009" s="228">
        <v>4.21</v>
      </c>
      <c r="E1009" s="229"/>
      <c r="F1009" s="220">
        <v>1208.1199999999999</v>
      </c>
      <c r="G1009" s="221">
        <v>5086.82</v>
      </c>
    </row>
    <row r="1010" spans="2:7" x14ac:dyDescent="0.2">
      <c r="B1010" s="180"/>
      <c r="C1010" s="185"/>
      <c r="D1010" s="181"/>
      <c r="E1010" s="186"/>
      <c r="F1010" s="222"/>
      <c r="G1010" s="230"/>
    </row>
    <row r="1011" spans="2:7" x14ac:dyDescent="0.2">
      <c r="B1011" s="157"/>
      <c r="C1011" s="158"/>
      <c r="D1011" s="156"/>
      <c r="E1011" s="156"/>
      <c r="F1011" s="159" t="s">
        <v>449</v>
      </c>
      <c r="G1011" s="183">
        <v>5086.82</v>
      </c>
    </row>
    <row r="1012" spans="2:7" x14ac:dyDescent="0.2">
      <c r="B1012" s="161" t="s">
        <v>450</v>
      </c>
      <c r="C1012" s="158"/>
      <c r="D1012" s="156"/>
      <c r="E1012" s="156"/>
      <c r="F1012" s="159"/>
      <c r="G1012" s="160"/>
    </row>
    <row r="1013" spans="2:7" x14ac:dyDescent="0.2">
      <c r="B1013" s="184" t="s">
        <v>451</v>
      </c>
      <c r="C1013" s="185" t="s">
        <v>2</v>
      </c>
      <c r="D1013" s="178">
        <v>32973.410000000003</v>
      </c>
      <c r="E1013" s="186"/>
      <c r="F1013" s="187">
        <v>0.02</v>
      </c>
      <c r="G1013" s="188">
        <v>659.46</v>
      </c>
    </row>
    <row r="1014" spans="2:7" x14ac:dyDescent="0.2">
      <c r="B1014" s="157"/>
      <c r="C1014" s="158"/>
      <c r="D1014" s="156"/>
      <c r="E1014" s="156"/>
      <c r="F1014" s="159" t="s">
        <v>452</v>
      </c>
      <c r="G1014" s="183">
        <v>659.46</v>
      </c>
    </row>
    <row r="1015" spans="2:7" x14ac:dyDescent="0.2">
      <c r="B1015" s="161" t="s">
        <v>453</v>
      </c>
      <c r="C1015" s="158"/>
      <c r="D1015" s="156"/>
      <c r="E1015" s="156"/>
      <c r="F1015" s="159"/>
      <c r="G1015" s="160"/>
    </row>
    <row r="1016" spans="2:7" x14ac:dyDescent="0.2">
      <c r="B1016" s="189" t="s">
        <v>454</v>
      </c>
      <c r="C1016" s="190" t="s">
        <v>2</v>
      </c>
      <c r="D1016" s="231">
        <v>7.0000000000000001E-3</v>
      </c>
      <c r="E1016" s="232"/>
      <c r="F1016" s="193">
        <v>121500</v>
      </c>
      <c r="G1016" s="194">
        <v>852.63</v>
      </c>
    </row>
    <row r="1017" spans="2:7" x14ac:dyDescent="0.2">
      <c r="B1017" s="195" t="s">
        <v>455</v>
      </c>
      <c r="C1017" s="233" t="s">
        <v>456</v>
      </c>
      <c r="D1017" s="234">
        <v>32973.410000000003</v>
      </c>
      <c r="E1017" s="226"/>
      <c r="F1017" s="235"/>
      <c r="G1017" s="199" t="s">
        <v>457</v>
      </c>
    </row>
    <row r="1018" spans="2:7" x14ac:dyDescent="0.2">
      <c r="B1018" s="195" t="s">
        <v>458</v>
      </c>
      <c r="C1018" s="233" t="s">
        <v>456</v>
      </c>
      <c r="D1018" s="178">
        <v>32973.410000000003</v>
      </c>
      <c r="E1018" s="226"/>
      <c r="F1018" s="235"/>
      <c r="G1018" s="199" t="s">
        <v>457</v>
      </c>
    </row>
    <row r="1019" spans="2:7" x14ac:dyDescent="0.2">
      <c r="B1019" s="157"/>
      <c r="C1019" s="158"/>
      <c r="D1019" s="156"/>
      <c r="E1019" s="156"/>
      <c r="F1019" s="159" t="s">
        <v>459</v>
      </c>
      <c r="G1019" s="173">
        <v>852.63</v>
      </c>
    </row>
    <row r="1020" spans="2:7" x14ac:dyDescent="0.2">
      <c r="B1020" s="157"/>
      <c r="C1020" s="158"/>
      <c r="D1020" s="156"/>
      <c r="E1020" s="156"/>
      <c r="F1020" s="159"/>
      <c r="G1020" s="160"/>
    </row>
    <row r="1021" spans="2:7" ht="17" thickBot="1" x14ac:dyDescent="0.25">
      <c r="B1021" s="206"/>
      <c r="C1021" s="207"/>
      <c r="D1021" s="208"/>
      <c r="E1021" s="209" t="s">
        <v>460</v>
      </c>
      <c r="F1021" s="210">
        <v>2323769.2999999998</v>
      </c>
      <c r="G1021" s="211">
        <v>33633</v>
      </c>
    </row>
    <row r="1022" spans="2:7" ht="17" thickTop="1" x14ac:dyDescent="0.2">
      <c r="B1022" s="212"/>
      <c r="C1022" s="213"/>
      <c r="D1022" s="212"/>
      <c r="E1022" s="212"/>
      <c r="F1022" s="212"/>
      <c r="G1022" s="212"/>
    </row>
    <row r="1023" spans="2:7" ht="17" thickBot="1" x14ac:dyDescent="0.25">
      <c r="B1023" s="212"/>
      <c r="C1023" s="213"/>
      <c r="D1023" s="212"/>
      <c r="E1023" s="212"/>
      <c r="F1023" s="212"/>
      <c r="G1023" s="212"/>
    </row>
    <row r="1024" spans="2:7" ht="17" thickTop="1" x14ac:dyDescent="0.2">
      <c r="B1024" s="537" t="s">
        <v>510</v>
      </c>
      <c r="C1024" s="538"/>
      <c r="D1024" s="538"/>
      <c r="E1024" s="538"/>
      <c r="F1024" s="148"/>
      <c r="G1024" s="149" t="s">
        <v>439</v>
      </c>
    </row>
    <row r="1025" spans="2:7" x14ac:dyDescent="0.2">
      <c r="B1025" s="539"/>
      <c r="C1025" s="540"/>
      <c r="D1025" s="540"/>
      <c r="E1025" s="540"/>
      <c r="F1025" s="150"/>
      <c r="G1025" s="151" t="s">
        <v>511</v>
      </c>
    </row>
    <row r="1026" spans="2:7" x14ac:dyDescent="0.2">
      <c r="B1026" s="152" t="s">
        <v>1</v>
      </c>
      <c r="C1026" s="153" t="s">
        <v>2</v>
      </c>
      <c r="D1026" s="153" t="s">
        <v>3</v>
      </c>
      <c r="E1026" s="153" t="s">
        <v>441</v>
      </c>
      <c r="F1026" s="154" t="s">
        <v>442</v>
      </c>
      <c r="G1026" s="155" t="s">
        <v>443</v>
      </c>
    </row>
    <row r="1027" spans="2:7" x14ac:dyDescent="0.2">
      <c r="B1027" s="157"/>
      <c r="C1027" s="158"/>
      <c r="D1027" s="156"/>
      <c r="E1027" s="156"/>
      <c r="F1027" s="159"/>
      <c r="G1027" s="160"/>
    </row>
    <row r="1028" spans="2:7" x14ac:dyDescent="0.2">
      <c r="B1028" s="161" t="s">
        <v>444</v>
      </c>
      <c r="C1028" s="158"/>
      <c r="D1028" s="156"/>
      <c r="E1028" s="156"/>
      <c r="F1028" s="159"/>
      <c r="G1028" s="160"/>
    </row>
    <row r="1029" spans="2:7" x14ac:dyDescent="0.2">
      <c r="B1029" s="162" t="s">
        <v>479</v>
      </c>
      <c r="C1029" s="163" t="s">
        <v>8</v>
      </c>
      <c r="D1029" s="164">
        <v>0.69</v>
      </c>
      <c r="E1029" s="224">
        <v>7.02</v>
      </c>
      <c r="F1029" s="166">
        <v>25261.25</v>
      </c>
      <c r="G1029" s="167">
        <v>18613.55</v>
      </c>
    </row>
    <row r="1030" spans="2:7" x14ac:dyDescent="0.2">
      <c r="B1030" s="184"/>
      <c r="C1030" s="185"/>
      <c r="D1030" s="170"/>
      <c r="E1030" s="170"/>
      <c r="F1030" s="222"/>
      <c r="G1030" s="188"/>
    </row>
    <row r="1031" spans="2:7" x14ac:dyDescent="0.2">
      <c r="B1031" s="157"/>
      <c r="C1031" s="158"/>
      <c r="D1031" s="156"/>
      <c r="E1031" s="156"/>
      <c r="F1031" s="159" t="s">
        <v>446</v>
      </c>
      <c r="G1031" s="183">
        <v>18613.55</v>
      </c>
    </row>
    <row r="1032" spans="2:7" x14ac:dyDescent="0.2">
      <c r="B1032" s="161" t="s">
        <v>447</v>
      </c>
      <c r="C1032" s="158"/>
      <c r="D1032" s="156"/>
      <c r="E1032" s="156"/>
      <c r="F1032" s="159"/>
      <c r="G1032" s="160"/>
    </row>
    <row r="1033" spans="2:7" x14ac:dyDescent="0.2">
      <c r="B1033" s="218" t="s">
        <v>448</v>
      </c>
      <c r="C1033" s="219" t="s">
        <v>2</v>
      </c>
      <c r="D1033" s="228">
        <v>1.75</v>
      </c>
      <c r="E1033" s="229"/>
      <c r="F1033" s="220">
        <v>1208.1199999999999</v>
      </c>
      <c r="G1033" s="221">
        <v>2119.5</v>
      </c>
    </row>
    <row r="1034" spans="2:7" x14ac:dyDescent="0.2">
      <c r="B1034" s="180"/>
      <c r="C1034" s="185"/>
      <c r="D1034" s="181"/>
      <c r="E1034" s="186"/>
      <c r="F1034" s="222"/>
      <c r="G1034" s="230"/>
    </row>
    <row r="1035" spans="2:7" x14ac:dyDescent="0.2">
      <c r="B1035" s="157"/>
      <c r="C1035" s="158"/>
      <c r="D1035" s="156"/>
      <c r="E1035" s="156"/>
      <c r="F1035" s="159" t="s">
        <v>449</v>
      </c>
      <c r="G1035" s="183">
        <v>2119.5</v>
      </c>
    </row>
    <row r="1036" spans="2:7" x14ac:dyDescent="0.2">
      <c r="B1036" s="161" t="s">
        <v>450</v>
      </c>
      <c r="C1036" s="158"/>
      <c r="D1036" s="156"/>
      <c r="E1036" s="156"/>
      <c r="F1036" s="159"/>
      <c r="G1036" s="160"/>
    </row>
    <row r="1037" spans="2:7" x14ac:dyDescent="0.2">
      <c r="B1037" s="184" t="s">
        <v>451</v>
      </c>
      <c r="C1037" s="185" t="s">
        <v>2</v>
      </c>
      <c r="D1037" s="178">
        <v>21443.57</v>
      </c>
      <c r="E1037" s="186"/>
      <c r="F1037" s="187">
        <v>0.02</v>
      </c>
      <c r="G1037" s="188">
        <v>428.87</v>
      </c>
    </row>
    <row r="1038" spans="2:7" x14ac:dyDescent="0.2">
      <c r="B1038" s="157"/>
      <c r="C1038" s="158"/>
      <c r="D1038" s="156"/>
      <c r="E1038" s="156"/>
      <c r="F1038" s="159" t="s">
        <v>452</v>
      </c>
      <c r="G1038" s="183">
        <v>428.87</v>
      </c>
    </row>
    <row r="1039" spans="2:7" x14ac:dyDescent="0.2">
      <c r="B1039" s="161" t="s">
        <v>453</v>
      </c>
      <c r="C1039" s="158"/>
      <c r="D1039" s="156"/>
      <c r="E1039" s="156"/>
      <c r="F1039" s="159"/>
      <c r="G1039" s="160"/>
    </row>
    <row r="1040" spans="2:7" x14ac:dyDescent="0.2">
      <c r="B1040" s="189" t="s">
        <v>454</v>
      </c>
      <c r="C1040" s="190" t="s">
        <v>2</v>
      </c>
      <c r="D1040" s="231">
        <v>6.0000000000000001E-3</v>
      </c>
      <c r="E1040" s="232"/>
      <c r="F1040" s="193">
        <v>121500</v>
      </c>
      <c r="G1040" s="194">
        <v>710.52</v>
      </c>
    </row>
    <row r="1041" spans="2:7" x14ac:dyDescent="0.2">
      <c r="B1041" s="195" t="s">
        <v>455</v>
      </c>
      <c r="C1041" s="233" t="s">
        <v>456</v>
      </c>
      <c r="D1041" s="234">
        <v>21443.57</v>
      </c>
      <c r="E1041" s="226"/>
      <c r="F1041" s="235"/>
      <c r="G1041" s="199" t="s">
        <v>457</v>
      </c>
    </row>
    <row r="1042" spans="2:7" x14ac:dyDescent="0.2">
      <c r="B1042" s="200" t="s">
        <v>458</v>
      </c>
      <c r="C1042" s="169" t="s">
        <v>456</v>
      </c>
      <c r="D1042" s="178">
        <v>21443.57</v>
      </c>
      <c r="E1042" s="170"/>
      <c r="F1042" s="235"/>
      <c r="G1042" s="204" t="s">
        <v>457</v>
      </c>
    </row>
    <row r="1043" spans="2:7" x14ac:dyDescent="0.2">
      <c r="B1043" s="180"/>
      <c r="C1043" s="169"/>
      <c r="D1043" s="205"/>
      <c r="E1043" s="170"/>
      <c r="F1043" s="222"/>
      <c r="G1043" s="230"/>
    </row>
    <row r="1044" spans="2:7" x14ac:dyDescent="0.2">
      <c r="B1044" s="157"/>
      <c r="C1044" s="158"/>
      <c r="D1044" s="156"/>
      <c r="E1044" s="156"/>
      <c r="F1044" s="159" t="s">
        <v>459</v>
      </c>
      <c r="G1044" s="183">
        <v>710.52</v>
      </c>
    </row>
    <row r="1045" spans="2:7" x14ac:dyDescent="0.2">
      <c r="B1045" s="157"/>
      <c r="C1045" s="158"/>
      <c r="D1045" s="156"/>
      <c r="E1045" s="156"/>
      <c r="F1045" s="159"/>
      <c r="G1045" s="160"/>
    </row>
    <row r="1046" spans="2:7" ht="17" thickBot="1" x14ac:dyDescent="0.25">
      <c r="B1046" s="206"/>
      <c r="C1046" s="207"/>
      <c r="D1046" s="208"/>
      <c r="E1046" s="209" t="s">
        <v>460</v>
      </c>
      <c r="F1046" s="210">
        <v>12491.86</v>
      </c>
      <c r="G1046" s="211">
        <v>21872</v>
      </c>
    </row>
    <row r="1047" spans="2:7" ht="17" thickTop="1" x14ac:dyDescent="0.2">
      <c r="B1047" s="212"/>
      <c r="C1047" s="213"/>
      <c r="D1047" s="212"/>
      <c r="E1047" s="212"/>
      <c r="F1047" s="212"/>
      <c r="G1047" s="212"/>
    </row>
    <row r="1048" spans="2:7" ht="17" thickBot="1" x14ac:dyDescent="0.25">
      <c r="B1048" s="212"/>
      <c r="C1048" s="213"/>
      <c r="D1048" s="212"/>
      <c r="E1048" s="212"/>
      <c r="F1048" s="212"/>
      <c r="G1048" s="212"/>
    </row>
    <row r="1049" spans="2:7" ht="17" thickTop="1" x14ac:dyDescent="0.2">
      <c r="B1049" s="537" t="s">
        <v>58</v>
      </c>
      <c r="C1049" s="538"/>
      <c r="D1049" s="538"/>
      <c r="E1049" s="538"/>
      <c r="F1049" s="148"/>
      <c r="G1049" s="149" t="s">
        <v>439</v>
      </c>
    </row>
    <row r="1050" spans="2:7" x14ac:dyDescent="0.2">
      <c r="B1050" s="539"/>
      <c r="C1050" s="540"/>
      <c r="D1050" s="540"/>
      <c r="E1050" s="540"/>
      <c r="F1050" s="150"/>
      <c r="G1050" s="151" t="s">
        <v>512</v>
      </c>
    </row>
    <row r="1051" spans="2:7" x14ac:dyDescent="0.2">
      <c r="B1051" s="152" t="s">
        <v>1</v>
      </c>
      <c r="C1051" s="153" t="s">
        <v>2</v>
      </c>
      <c r="D1051" s="153" t="s">
        <v>3</v>
      </c>
      <c r="E1051" s="153" t="s">
        <v>441</v>
      </c>
      <c r="F1051" s="154" t="s">
        <v>442</v>
      </c>
      <c r="G1051" s="155" t="s">
        <v>443</v>
      </c>
    </row>
    <row r="1052" spans="2:7" x14ac:dyDescent="0.2">
      <c r="B1052" s="157"/>
      <c r="C1052" s="158"/>
      <c r="D1052" s="156"/>
      <c r="E1052" s="156"/>
      <c r="F1052" s="159"/>
      <c r="G1052" s="160"/>
    </row>
    <row r="1053" spans="2:7" x14ac:dyDescent="0.2">
      <c r="B1053" s="161" t="s">
        <v>444</v>
      </c>
      <c r="C1053" s="158"/>
      <c r="D1053" s="156"/>
      <c r="E1053" s="156"/>
      <c r="F1053" s="159"/>
      <c r="G1053" s="160"/>
    </row>
    <row r="1054" spans="2:7" x14ac:dyDescent="0.2">
      <c r="B1054" s="162" t="s">
        <v>479</v>
      </c>
      <c r="C1054" s="163" t="s">
        <v>8</v>
      </c>
      <c r="D1054" s="164">
        <v>0.52</v>
      </c>
      <c r="E1054" s="224">
        <v>7.02</v>
      </c>
      <c r="F1054" s="166">
        <v>25261.25</v>
      </c>
      <c r="G1054" s="167">
        <v>14181.75</v>
      </c>
    </row>
    <row r="1055" spans="2:7" x14ac:dyDescent="0.2">
      <c r="B1055" s="184"/>
      <c r="C1055" s="185"/>
      <c r="D1055" s="170"/>
      <c r="E1055" s="170"/>
      <c r="F1055" s="222"/>
      <c r="G1055" s="188"/>
    </row>
    <row r="1056" spans="2:7" x14ac:dyDescent="0.2">
      <c r="B1056" s="157"/>
      <c r="C1056" s="158"/>
      <c r="D1056" s="156"/>
      <c r="E1056" s="156"/>
      <c r="F1056" s="159" t="s">
        <v>446</v>
      </c>
      <c r="G1056" s="183">
        <v>14181.75</v>
      </c>
    </row>
    <row r="1057" spans="2:7" x14ac:dyDescent="0.2">
      <c r="B1057" s="161" t="s">
        <v>447</v>
      </c>
      <c r="C1057" s="158"/>
      <c r="D1057" s="156"/>
      <c r="E1057" s="156"/>
      <c r="F1057" s="159"/>
      <c r="G1057" s="160"/>
    </row>
    <row r="1058" spans="2:7" x14ac:dyDescent="0.2">
      <c r="B1058" s="218" t="s">
        <v>448</v>
      </c>
      <c r="C1058" s="219" t="s">
        <v>2</v>
      </c>
      <c r="D1058" s="228">
        <v>1.75</v>
      </c>
      <c r="E1058" s="229"/>
      <c r="F1058" s="220">
        <v>1208.1199999999999</v>
      </c>
      <c r="G1058" s="221">
        <v>2119.5</v>
      </c>
    </row>
    <row r="1059" spans="2:7" x14ac:dyDescent="0.2">
      <c r="B1059" s="180"/>
      <c r="C1059" s="185"/>
      <c r="D1059" s="181"/>
      <c r="E1059" s="186"/>
      <c r="F1059" s="222"/>
      <c r="G1059" s="230"/>
    </row>
    <row r="1060" spans="2:7" x14ac:dyDescent="0.2">
      <c r="B1060" s="157"/>
      <c r="C1060" s="158"/>
      <c r="D1060" s="156"/>
      <c r="E1060" s="156"/>
      <c r="F1060" s="159" t="s">
        <v>449</v>
      </c>
      <c r="G1060" s="183">
        <v>2119.5</v>
      </c>
    </row>
    <row r="1061" spans="2:7" x14ac:dyDescent="0.2">
      <c r="B1061" s="161" t="s">
        <v>450</v>
      </c>
      <c r="C1061" s="158"/>
      <c r="D1061" s="156"/>
      <c r="E1061" s="156"/>
      <c r="F1061" s="159"/>
      <c r="G1061" s="160"/>
    </row>
    <row r="1062" spans="2:7" x14ac:dyDescent="0.2">
      <c r="B1062" s="184" t="s">
        <v>451</v>
      </c>
      <c r="C1062" s="185" t="s">
        <v>2</v>
      </c>
      <c r="D1062" s="178">
        <v>16910.27</v>
      </c>
      <c r="E1062" s="186"/>
      <c r="F1062" s="187">
        <v>0.02</v>
      </c>
      <c r="G1062" s="188">
        <v>338.2</v>
      </c>
    </row>
    <row r="1063" spans="2:7" x14ac:dyDescent="0.2">
      <c r="B1063" s="157"/>
      <c r="C1063" s="158"/>
      <c r="D1063" s="156"/>
      <c r="E1063" s="156"/>
      <c r="F1063" s="159" t="s">
        <v>452</v>
      </c>
      <c r="G1063" s="183">
        <v>338.2</v>
      </c>
    </row>
    <row r="1064" spans="2:7" x14ac:dyDescent="0.2">
      <c r="B1064" s="161" t="s">
        <v>453</v>
      </c>
      <c r="C1064" s="158"/>
      <c r="D1064" s="156"/>
      <c r="E1064" s="156"/>
      <c r="F1064" s="159"/>
      <c r="G1064" s="160"/>
    </row>
    <row r="1065" spans="2:7" x14ac:dyDescent="0.2">
      <c r="B1065" s="189" t="s">
        <v>454</v>
      </c>
      <c r="C1065" s="190" t="s">
        <v>2</v>
      </c>
      <c r="D1065" s="231">
        <v>5.0000000000000001E-3</v>
      </c>
      <c r="E1065" s="232"/>
      <c r="F1065" s="193">
        <v>121500</v>
      </c>
      <c r="G1065" s="194">
        <v>609.02</v>
      </c>
    </row>
    <row r="1066" spans="2:7" x14ac:dyDescent="0.2">
      <c r="B1066" s="195" t="s">
        <v>455</v>
      </c>
      <c r="C1066" s="233" t="s">
        <v>456</v>
      </c>
      <c r="D1066" s="234">
        <v>16910.27</v>
      </c>
      <c r="E1066" s="226"/>
      <c r="F1066" s="235"/>
      <c r="G1066" s="199" t="s">
        <v>457</v>
      </c>
    </row>
    <row r="1067" spans="2:7" x14ac:dyDescent="0.2">
      <c r="B1067" s="195" t="s">
        <v>458</v>
      </c>
      <c r="C1067" s="233" t="s">
        <v>456</v>
      </c>
      <c r="D1067" s="178">
        <v>16910.27</v>
      </c>
      <c r="E1067" s="226"/>
      <c r="F1067" s="235"/>
      <c r="G1067" s="199" t="s">
        <v>457</v>
      </c>
    </row>
    <row r="1068" spans="2:7" x14ac:dyDescent="0.2">
      <c r="B1068" s="157"/>
      <c r="C1068" s="158"/>
      <c r="D1068" s="156"/>
      <c r="E1068" s="156"/>
      <c r="F1068" s="159" t="s">
        <v>459</v>
      </c>
      <c r="G1068" s="173">
        <v>609.02</v>
      </c>
    </row>
    <row r="1069" spans="2:7" x14ac:dyDescent="0.2">
      <c r="B1069" s="157"/>
      <c r="C1069" s="158"/>
      <c r="D1069" s="156"/>
      <c r="E1069" s="156"/>
      <c r="F1069" s="159"/>
      <c r="G1069" s="160"/>
    </row>
    <row r="1070" spans="2:7" ht="17" thickBot="1" x14ac:dyDescent="0.25">
      <c r="B1070" s="206"/>
      <c r="C1070" s="207"/>
      <c r="D1070" s="208"/>
      <c r="E1070" s="209" t="s">
        <v>460</v>
      </c>
      <c r="F1070" s="210">
        <v>8692.27</v>
      </c>
      <c r="G1070" s="211">
        <v>17248</v>
      </c>
    </row>
    <row r="1071" spans="2:7" ht="17" thickTop="1" x14ac:dyDescent="0.2">
      <c r="B1071" s="212"/>
      <c r="C1071" s="213"/>
      <c r="D1071" s="212"/>
      <c r="E1071" s="212"/>
      <c r="F1071" s="212"/>
      <c r="G1071" s="212"/>
    </row>
    <row r="1072" spans="2:7" ht="17" thickBot="1" x14ac:dyDescent="0.25">
      <c r="B1072" s="212"/>
      <c r="C1072" s="213"/>
      <c r="D1072" s="212"/>
      <c r="E1072" s="212"/>
      <c r="F1072" s="212"/>
      <c r="G1072" s="212"/>
    </row>
    <row r="1073" spans="2:7" ht="17" thickTop="1" x14ac:dyDescent="0.2">
      <c r="B1073" s="537" t="s">
        <v>59</v>
      </c>
      <c r="C1073" s="538"/>
      <c r="D1073" s="538"/>
      <c r="E1073" s="538"/>
      <c r="F1073" s="148"/>
      <c r="G1073" s="149" t="s">
        <v>439</v>
      </c>
    </row>
    <row r="1074" spans="2:7" x14ac:dyDescent="0.2">
      <c r="B1074" s="539"/>
      <c r="C1074" s="540"/>
      <c r="D1074" s="540"/>
      <c r="E1074" s="540"/>
      <c r="F1074" s="150"/>
      <c r="G1074" s="151" t="s">
        <v>513</v>
      </c>
    </row>
    <row r="1075" spans="2:7" x14ac:dyDescent="0.2">
      <c r="B1075" s="152" t="s">
        <v>1</v>
      </c>
      <c r="C1075" s="153" t="s">
        <v>2</v>
      </c>
      <c r="D1075" s="153" t="s">
        <v>3</v>
      </c>
      <c r="E1075" s="153" t="s">
        <v>441</v>
      </c>
      <c r="F1075" s="154" t="s">
        <v>442</v>
      </c>
      <c r="G1075" s="155" t="s">
        <v>443</v>
      </c>
    </row>
    <row r="1076" spans="2:7" x14ac:dyDescent="0.2">
      <c r="B1076" s="157"/>
      <c r="C1076" s="158"/>
      <c r="D1076" s="156"/>
      <c r="E1076" s="156"/>
      <c r="F1076" s="159"/>
      <c r="G1076" s="160"/>
    </row>
    <row r="1077" spans="2:7" x14ac:dyDescent="0.2">
      <c r="B1077" s="161" t="s">
        <v>444</v>
      </c>
      <c r="C1077" s="158"/>
      <c r="D1077" s="156"/>
      <c r="E1077" s="156"/>
      <c r="F1077" s="159"/>
      <c r="G1077" s="160"/>
    </row>
    <row r="1078" spans="2:7" x14ac:dyDescent="0.2">
      <c r="B1078" s="162" t="s">
        <v>479</v>
      </c>
      <c r="C1078" s="163" t="s">
        <v>8</v>
      </c>
      <c r="D1078" s="164">
        <v>0.36</v>
      </c>
      <c r="E1078" s="224">
        <v>7.02</v>
      </c>
      <c r="F1078" s="166">
        <v>25261.25</v>
      </c>
      <c r="G1078" s="167">
        <v>9749.9500000000007</v>
      </c>
    </row>
    <row r="1079" spans="2:7" x14ac:dyDescent="0.2">
      <c r="B1079" s="184"/>
      <c r="C1079" s="185"/>
      <c r="D1079" s="170"/>
      <c r="E1079" s="170"/>
      <c r="F1079" s="222"/>
      <c r="G1079" s="188"/>
    </row>
    <row r="1080" spans="2:7" x14ac:dyDescent="0.2">
      <c r="B1080" s="157"/>
      <c r="C1080" s="158"/>
      <c r="D1080" s="156"/>
      <c r="E1080" s="156"/>
      <c r="F1080" s="159" t="s">
        <v>446</v>
      </c>
      <c r="G1080" s="183">
        <v>9749.9500000000007</v>
      </c>
    </row>
    <row r="1081" spans="2:7" x14ac:dyDescent="0.2">
      <c r="B1081" s="161" t="s">
        <v>447</v>
      </c>
      <c r="C1081" s="158"/>
      <c r="D1081" s="156"/>
      <c r="E1081" s="156"/>
      <c r="F1081" s="159"/>
      <c r="G1081" s="160"/>
    </row>
    <row r="1082" spans="2:7" x14ac:dyDescent="0.2">
      <c r="B1082" s="218" t="s">
        <v>448</v>
      </c>
      <c r="C1082" s="219" t="s">
        <v>2</v>
      </c>
      <c r="D1082" s="228">
        <v>1.23</v>
      </c>
      <c r="E1082" s="229"/>
      <c r="F1082" s="220">
        <v>1208.1199999999999</v>
      </c>
      <c r="G1082" s="221">
        <v>1483.65</v>
      </c>
    </row>
    <row r="1083" spans="2:7" x14ac:dyDescent="0.2">
      <c r="B1083" s="180"/>
      <c r="C1083" s="185"/>
      <c r="D1083" s="181"/>
      <c r="E1083" s="186"/>
      <c r="F1083" s="222"/>
      <c r="G1083" s="230"/>
    </row>
    <row r="1084" spans="2:7" x14ac:dyDescent="0.2">
      <c r="B1084" s="157"/>
      <c r="C1084" s="158"/>
      <c r="D1084" s="156"/>
      <c r="E1084" s="156"/>
      <c r="F1084" s="159" t="s">
        <v>449</v>
      </c>
      <c r="G1084" s="183">
        <v>1483.65</v>
      </c>
    </row>
    <row r="1085" spans="2:7" x14ac:dyDescent="0.2">
      <c r="B1085" s="161" t="s">
        <v>450</v>
      </c>
      <c r="C1085" s="158"/>
      <c r="D1085" s="156"/>
      <c r="E1085" s="156"/>
      <c r="F1085" s="159"/>
      <c r="G1085" s="160"/>
    </row>
    <row r="1086" spans="2:7" x14ac:dyDescent="0.2">
      <c r="B1086" s="184" t="s">
        <v>451</v>
      </c>
      <c r="C1086" s="185" t="s">
        <v>2</v>
      </c>
      <c r="D1086" s="178">
        <v>11766.49</v>
      </c>
      <c r="E1086" s="186"/>
      <c r="F1086" s="187">
        <v>0.02</v>
      </c>
      <c r="G1086" s="188">
        <v>235.32</v>
      </c>
    </row>
    <row r="1087" spans="2:7" x14ac:dyDescent="0.2">
      <c r="B1087" s="157"/>
      <c r="C1087" s="158"/>
      <c r="D1087" s="156"/>
      <c r="E1087" s="156"/>
      <c r="F1087" s="159" t="s">
        <v>452</v>
      </c>
      <c r="G1087" s="183">
        <v>235.32</v>
      </c>
    </row>
    <row r="1088" spans="2:7" x14ac:dyDescent="0.2">
      <c r="B1088" s="161" t="s">
        <v>453</v>
      </c>
      <c r="C1088" s="158"/>
      <c r="D1088" s="156"/>
      <c r="E1088" s="156"/>
      <c r="F1088" s="159"/>
      <c r="G1088" s="160"/>
    </row>
    <row r="1089" spans="2:7" x14ac:dyDescent="0.2">
      <c r="B1089" s="189" t="s">
        <v>454</v>
      </c>
      <c r="C1089" s="190" t="s">
        <v>2</v>
      </c>
      <c r="D1089" s="231">
        <v>4.0000000000000001E-3</v>
      </c>
      <c r="E1089" s="232"/>
      <c r="F1089" s="193">
        <v>121500</v>
      </c>
      <c r="G1089" s="194">
        <v>532.89</v>
      </c>
    </row>
    <row r="1090" spans="2:7" x14ac:dyDescent="0.2">
      <c r="B1090" s="195" t="s">
        <v>455</v>
      </c>
      <c r="C1090" s="233" t="s">
        <v>456</v>
      </c>
      <c r="D1090" s="234">
        <v>11766.49</v>
      </c>
      <c r="E1090" s="226"/>
      <c r="F1090" s="235"/>
      <c r="G1090" s="199" t="s">
        <v>457</v>
      </c>
    </row>
    <row r="1091" spans="2:7" x14ac:dyDescent="0.2">
      <c r="B1091" s="195" t="s">
        <v>458</v>
      </c>
      <c r="C1091" s="233" t="s">
        <v>456</v>
      </c>
      <c r="D1091" s="178">
        <v>11766.49</v>
      </c>
      <c r="E1091" s="226"/>
      <c r="F1091" s="235"/>
      <c r="G1091" s="199" t="s">
        <v>457</v>
      </c>
    </row>
    <row r="1092" spans="2:7" x14ac:dyDescent="0.2">
      <c r="B1092" s="236"/>
      <c r="C1092" s="185"/>
      <c r="D1092" s="205"/>
      <c r="E1092" s="186"/>
      <c r="F1092" s="222"/>
      <c r="G1092" s="237"/>
    </row>
    <row r="1093" spans="2:7" x14ac:dyDescent="0.2">
      <c r="B1093" s="157"/>
      <c r="C1093" s="158"/>
      <c r="D1093" s="156"/>
      <c r="E1093" s="156"/>
      <c r="F1093" s="159" t="s">
        <v>459</v>
      </c>
      <c r="G1093" s="183">
        <v>532.89</v>
      </c>
    </row>
    <row r="1094" spans="2:7" x14ac:dyDescent="0.2">
      <c r="B1094" s="157"/>
      <c r="C1094" s="158"/>
      <c r="D1094" s="156"/>
      <c r="E1094" s="156"/>
      <c r="F1094" s="159"/>
      <c r="G1094" s="160"/>
    </row>
    <row r="1095" spans="2:7" ht="17" thickBot="1" x14ac:dyDescent="0.25">
      <c r="B1095" s="206"/>
      <c r="C1095" s="207"/>
      <c r="D1095" s="208"/>
      <c r="E1095" s="209" t="s">
        <v>460</v>
      </c>
      <c r="F1095" s="210">
        <v>125134.39999999999</v>
      </c>
      <c r="G1095" s="211">
        <v>12002</v>
      </c>
    </row>
    <row r="1096" spans="2:7" ht="17" thickTop="1" x14ac:dyDescent="0.2">
      <c r="B1096" s="212"/>
      <c r="C1096" s="213"/>
      <c r="D1096" s="212"/>
      <c r="E1096" s="212"/>
      <c r="F1096" s="212"/>
      <c r="G1096" s="212"/>
    </row>
    <row r="1097" spans="2:7" ht="17" thickBot="1" x14ac:dyDescent="0.25">
      <c r="B1097" s="212"/>
      <c r="C1097" s="213"/>
      <c r="D1097" s="212"/>
      <c r="E1097" s="212"/>
      <c r="F1097" s="212"/>
      <c r="G1097" s="212"/>
    </row>
    <row r="1098" spans="2:7" ht="17" thickTop="1" x14ac:dyDescent="0.2">
      <c r="B1098" s="537" t="s">
        <v>62</v>
      </c>
      <c r="C1098" s="538"/>
      <c r="D1098" s="538"/>
      <c r="E1098" s="538"/>
      <c r="F1098" s="148"/>
      <c r="G1098" s="149" t="s">
        <v>439</v>
      </c>
    </row>
    <row r="1099" spans="2:7" x14ac:dyDescent="0.2">
      <c r="B1099" s="539"/>
      <c r="C1099" s="540"/>
      <c r="D1099" s="540"/>
      <c r="E1099" s="540"/>
      <c r="F1099" s="150"/>
      <c r="G1099" s="151" t="s">
        <v>514</v>
      </c>
    </row>
    <row r="1100" spans="2:7" x14ac:dyDescent="0.2">
      <c r="B1100" s="152" t="s">
        <v>1</v>
      </c>
      <c r="C1100" s="153" t="s">
        <v>2</v>
      </c>
      <c r="D1100" s="153" t="s">
        <v>3</v>
      </c>
      <c r="E1100" s="153" t="s">
        <v>441</v>
      </c>
      <c r="F1100" s="154" t="s">
        <v>442</v>
      </c>
      <c r="G1100" s="155" t="s">
        <v>443</v>
      </c>
    </row>
    <row r="1101" spans="2:7" x14ac:dyDescent="0.2">
      <c r="B1101" s="157"/>
      <c r="C1101" s="158"/>
      <c r="D1101" s="156"/>
      <c r="E1101" s="156"/>
      <c r="F1101" s="159"/>
      <c r="G1101" s="160"/>
    </row>
    <row r="1102" spans="2:7" x14ac:dyDescent="0.2">
      <c r="B1102" s="161" t="s">
        <v>444</v>
      </c>
      <c r="C1102" s="158"/>
      <c r="D1102" s="156"/>
      <c r="E1102" s="156"/>
      <c r="F1102" s="159"/>
      <c r="G1102" s="160"/>
    </row>
    <row r="1103" spans="2:7" x14ac:dyDescent="0.2">
      <c r="B1103" s="162" t="s">
        <v>485</v>
      </c>
      <c r="C1103" s="163" t="s">
        <v>8</v>
      </c>
      <c r="D1103" s="164">
        <v>2</v>
      </c>
      <c r="E1103" s="224">
        <v>7.02</v>
      </c>
      <c r="F1103" s="166">
        <v>20209.61</v>
      </c>
      <c r="G1103" s="167">
        <v>43255.65</v>
      </c>
    </row>
    <row r="1104" spans="2:7" x14ac:dyDescent="0.2">
      <c r="B1104" s="168"/>
      <c r="C1104" s="225"/>
      <c r="D1104" s="170"/>
      <c r="E1104" s="226"/>
      <c r="F1104" s="227"/>
      <c r="G1104" s="172"/>
    </row>
    <row r="1105" spans="2:7" x14ac:dyDescent="0.2">
      <c r="B1105" s="157"/>
      <c r="C1105" s="158"/>
      <c r="D1105" s="156"/>
      <c r="E1105" s="156"/>
      <c r="F1105" s="159" t="s">
        <v>446</v>
      </c>
      <c r="G1105" s="183">
        <v>43255.65</v>
      </c>
    </row>
    <row r="1106" spans="2:7" x14ac:dyDescent="0.2">
      <c r="B1106" s="161" t="s">
        <v>447</v>
      </c>
      <c r="C1106" s="158"/>
      <c r="D1106" s="156"/>
      <c r="E1106" s="156"/>
      <c r="F1106" s="159"/>
      <c r="G1106" s="160"/>
    </row>
    <row r="1107" spans="2:7" x14ac:dyDescent="0.2">
      <c r="B1107" s="218" t="s">
        <v>448</v>
      </c>
      <c r="C1107" s="219" t="s">
        <v>2</v>
      </c>
      <c r="D1107" s="228">
        <v>6.32</v>
      </c>
      <c r="E1107" s="229"/>
      <c r="F1107" s="220">
        <v>1208.1199999999999</v>
      </c>
      <c r="G1107" s="221">
        <v>7630.23</v>
      </c>
    </row>
    <row r="1108" spans="2:7" x14ac:dyDescent="0.2">
      <c r="B1108" s="180"/>
      <c r="C1108" s="185"/>
      <c r="D1108" s="181"/>
      <c r="E1108" s="186"/>
      <c r="F1108" s="222"/>
      <c r="G1108" s="230"/>
    </row>
    <row r="1109" spans="2:7" x14ac:dyDescent="0.2">
      <c r="B1109" s="157"/>
      <c r="C1109" s="158"/>
      <c r="D1109" s="156"/>
      <c r="E1109" s="156"/>
      <c r="F1109" s="159" t="s">
        <v>449</v>
      </c>
      <c r="G1109" s="183">
        <v>7630.23</v>
      </c>
    </row>
    <row r="1110" spans="2:7" x14ac:dyDescent="0.2">
      <c r="B1110" s="161" t="s">
        <v>450</v>
      </c>
      <c r="C1110" s="158"/>
      <c r="D1110" s="156"/>
      <c r="E1110" s="156"/>
      <c r="F1110" s="159"/>
      <c r="G1110" s="160"/>
    </row>
    <row r="1111" spans="2:7" x14ac:dyDescent="0.2">
      <c r="B1111" s="184" t="s">
        <v>451</v>
      </c>
      <c r="C1111" s="185" t="s">
        <v>2</v>
      </c>
      <c r="D1111" s="178">
        <v>56001.66</v>
      </c>
      <c r="E1111" s="186"/>
      <c r="F1111" s="187">
        <v>0.02</v>
      </c>
      <c r="G1111" s="188">
        <v>1120.03</v>
      </c>
    </row>
    <row r="1112" spans="2:7" x14ac:dyDescent="0.2">
      <c r="B1112" s="157"/>
      <c r="C1112" s="158"/>
      <c r="D1112" s="156"/>
      <c r="E1112" s="156"/>
      <c r="F1112" s="159" t="s">
        <v>452</v>
      </c>
      <c r="G1112" s="183">
        <v>1120.03</v>
      </c>
    </row>
    <row r="1113" spans="2:7" x14ac:dyDescent="0.2">
      <c r="B1113" s="161" t="s">
        <v>453</v>
      </c>
      <c r="C1113" s="158"/>
      <c r="D1113" s="156"/>
      <c r="E1113" s="156"/>
      <c r="F1113" s="159"/>
      <c r="G1113" s="160"/>
    </row>
    <row r="1114" spans="2:7" x14ac:dyDescent="0.2">
      <c r="B1114" s="189" t="s">
        <v>454</v>
      </c>
      <c r="C1114" s="190" t="s">
        <v>2</v>
      </c>
      <c r="D1114" s="231">
        <v>4.2000000000000003E-2</v>
      </c>
      <c r="E1114" s="232"/>
      <c r="F1114" s="193">
        <v>121500</v>
      </c>
      <c r="G1114" s="194">
        <v>5115.78</v>
      </c>
    </row>
    <row r="1115" spans="2:7" x14ac:dyDescent="0.2">
      <c r="B1115" s="195" t="s">
        <v>455</v>
      </c>
      <c r="C1115" s="233" t="s">
        <v>456</v>
      </c>
      <c r="D1115" s="234">
        <v>56001.66</v>
      </c>
      <c r="E1115" s="226"/>
      <c r="F1115" s="235"/>
      <c r="G1115" s="199" t="s">
        <v>457</v>
      </c>
    </row>
    <row r="1116" spans="2:7" x14ac:dyDescent="0.2">
      <c r="B1116" s="200" t="s">
        <v>458</v>
      </c>
      <c r="C1116" s="169" t="s">
        <v>456</v>
      </c>
      <c r="D1116" s="178">
        <v>56001.66</v>
      </c>
      <c r="E1116" s="170"/>
      <c r="F1116" s="238"/>
      <c r="G1116" s="204" t="s">
        <v>457</v>
      </c>
    </row>
    <row r="1117" spans="2:7" x14ac:dyDescent="0.2">
      <c r="B1117" s="180"/>
      <c r="C1117" s="169"/>
      <c r="D1117" s="205"/>
      <c r="E1117" s="170"/>
      <c r="F1117" s="171"/>
      <c r="G1117" s="230"/>
    </row>
    <row r="1118" spans="2:7" x14ac:dyDescent="0.2">
      <c r="B1118" s="157"/>
      <c r="C1118" s="158"/>
      <c r="D1118" s="156"/>
      <c r="E1118" s="156"/>
      <c r="F1118" s="159" t="s">
        <v>459</v>
      </c>
      <c r="G1118" s="183">
        <v>5115.78</v>
      </c>
    </row>
    <row r="1119" spans="2:7" x14ac:dyDescent="0.2">
      <c r="B1119" s="157"/>
      <c r="C1119" s="158"/>
      <c r="D1119" s="156"/>
      <c r="E1119" s="156"/>
      <c r="F1119" s="159"/>
      <c r="G1119" s="160"/>
    </row>
    <row r="1120" spans="2:7" ht="17" thickBot="1" x14ac:dyDescent="0.25">
      <c r="B1120" s="206"/>
      <c r="C1120" s="207"/>
      <c r="D1120" s="208"/>
      <c r="E1120" s="209" t="s">
        <v>460</v>
      </c>
      <c r="F1120" s="210">
        <v>18067.88</v>
      </c>
      <c r="G1120" s="211">
        <v>57122</v>
      </c>
    </row>
    <row r="1121" spans="2:7" ht="17" thickTop="1" x14ac:dyDescent="0.2">
      <c r="B1121" s="212"/>
      <c r="C1121" s="213"/>
      <c r="D1121" s="212"/>
      <c r="E1121" s="212"/>
      <c r="F1121" s="212"/>
      <c r="G1121" s="212"/>
    </row>
    <row r="1122" spans="2:7" ht="17" thickBot="1" x14ac:dyDescent="0.25">
      <c r="B1122" s="212"/>
      <c r="C1122" s="213"/>
      <c r="D1122" s="212"/>
      <c r="E1122" s="212"/>
      <c r="F1122" s="212"/>
      <c r="G1122" s="212"/>
    </row>
    <row r="1123" spans="2:7" ht="17" thickTop="1" x14ac:dyDescent="0.2">
      <c r="B1123" s="537" t="s">
        <v>63</v>
      </c>
      <c r="C1123" s="538"/>
      <c r="D1123" s="538"/>
      <c r="E1123" s="538"/>
      <c r="F1123" s="148"/>
      <c r="G1123" s="149" t="s">
        <v>439</v>
      </c>
    </row>
    <row r="1124" spans="2:7" x14ac:dyDescent="0.2">
      <c r="B1124" s="539"/>
      <c r="C1124" s="540"/>
      <c r="D1124" s="540"/>
      <c r="E1124" s="540"/>
      <c r="F1124" s="150"/>
      <c r="G1124" s="151" t="s">
        <v>515</v>
      </c>
    </row>
    <row r="1125" spans="2:7" x14ac:dyDescent="0.2">
      <c r="B1125" s="152" t="s">
        <v>1</v>
      </c>
      <c r="C1125" s="153" t="s">
        <v>2</v>
      </c>
      <c r="D1125" s="153" t="s">
        <v>3</v>
      </c>
      <c r="E1125" s="153" t="s">
        <v>441</v>
      </c>
      <c r="F1125" s="154" t="s">
        <v>442</v>
      </c>
      <c r="G1125" s="155" t="s">
        <v>443</v>
      </c>
    </row>
    <row r="1126" spans="2:7" x14ac:dyDescent="0.2">
      <c r="B1126" s="157"/>
      <c r="C1126" s="158"/>
      <c r="D1126" s="156"/>
      <c r="E1126" s="156"/>
      <c r="F1126" s="159"/>
      <c r="G1126" s="160"/>
    </row>
    <row r="1127" spans="2:7" x14ac:dyDescent="0.2">
      <c r="B1127" s="161" t="s">
        <v>444</v>
      </c>
      <c r="C1127" s="158"/>
      <c r="D1127" s="156"/>
      <c r="E1127" s="156"/>
      <c r="F1127" s="159"/>
      <c r="G1127" s="160"/>
    </row>
    <row r="1128" spans="2:7" x14ac:dyDescent="0.2">
      <c r="B1128" s="162" t="s">
        <v>485</v>
      </c>
      <c r="C1128" s="163" t="s">
        <v>8</v>
      </c>
      <c r="D1128" s="164">
        <v>1</v>
      </c>
      <c r="E1128" s="224">
        <v>7.02</v>
      </c>
      <c r="F1128" s="166">
        <v>20209.61</v>
      </c>
      <c r="G1128" s="167">
        <v>21627.82</v>
      </c>
    </row>
    <row r="1129" spans="2:7" x14ac:dyDescent="0.2">
      <c r="B1129" s="200"/>
      <c r="C1129" s="169"/>
      <c r="D1129" s="170"/>
      <c r="E1129" s="170"/>
      <c r="F1129" s="171"/>
      <c r="G1129" s="204"/>
    </row>
    <row r="1130" spans="2:7" x14ac:dyDescent="0.2">
      <c r="B1130" s="157"/>
      <c r="C1130" s="158"/>
      <c r="D1130" s="156"/>
      <c r="E1130" s="156"/>
      <c r="F1130" s="159" t="s">
        <v>446</v>
      </c>
      <c r="G1130" s="183">
        <v>21627.82</v>
      </c>
    </row>
    <row r="1131" spans="2:7" x14ac:dyDescent="0.2">
      <c r="B1131" s="161" t="s">
        <v>447</v>
      </c>
      <c r="C1131" s="158"/>
      <c r="D1131" s="156"/>
      <c r="E1131" s="156"/>
      <c r="F1131" s="159"/>
      <c r="G1131" s="160"/>
    </row>
    <row r="1132" spans="2:7" x14ac:dyDescent="0.2">
      <c r="B1132" s="218" t="s">
        <v>448</v>
      </c>
      <c r="C1132" s="219" t="s">
        <v>2</v>
      </c>
      <c r="D1132" s="228">
        <v>4.21</v>
      </c>
      <c r="E1132" s="229"/>
      <c r="F1132" s="220">
        <v>1208.1199999999999</v>
      </c>
      <c r="G1132" s="221">
        <v>5086.82</v>
      </c>
    </row>
    <row r="1133" spans="2:7" x14ac:dyDescent="0.2">
      <c r="B1133" s="180"/>
      <c r="C1133" s="185"/>
      <c r="D1133" s="181"/>
      <c r="E1133" s="186"/>
      <c r="F1133" s="222"/>
      <c r="G1133" s="230"/>
    </row>
    <row r="1134" spans="2:7" x14ac:dyDescent="0.2">
      <c r="B1134" s="157"/>
      <c r="C1134" s="158"/>
      <c r="D1134" s="156"/>
      <c r="E1134" s="156"/>
      <c r="F1134" s="159" t="s">
        <v>449</v>
      </c>
      <c r="G1134" s="183">
        <v>5086.82</v>
      </c>
    </row>
    <row r="1135" spans="2:7" x14ac:dyDescent="0.2">
      <c r="B1135" s="161" t="s">
        <v>450</v>
      </c>
      <c r="C1135" s="158"/>
      <c r="D1135" s="156"/>
      <c r="E1135" s="156"/>
      <c r="F1135" s="159"/>
      <c r="G1135" s="160"/>
    </row>
    <row r="1136" spans="2:7" x14ac:dyDescent="0.2">
      <c r="B1136" s="184" t="s">
        <v>451</v>
      </c>
      <c r="C1136" s="185" t="s">
        <v>2</v>
      </c>
      <c r="D1136" s="178">
        <v>27567.27</v>
      </c>
      <c r="E1136" s="186"/>
      <c r="F1136" s="187">
        <v>0.02</v>
      </c>
      <c r="G1136" s="188">
        <v>551.34</v>
      </c>
    </row>
    <row r="1137" spans="2:7" x14ac:dyDescent="0.2">
      <c r="B1137" s="157"/>
      <c r="C1137" s="158"/>
      <c r="D1137" s="156"/>
      <c r="E1137" s="156"/>
      <c r="F1137" s="159" t="s">
        <v>452</v>
      </c>
      <c r="G1137" s="183">
        <v>551.34</v>
      </c>
    </row>
    <row r="1138" spans="2:7" x14ac:dyDescent="0.2">
      <c r="B1138" s="161" t="s">
        <v>453</v>
      </c>
      <c r="C1138" s="158"/>
      <c r="D1138" s="156"/>
      <c r="E1138" s="156"/>
      <c r="F1138" s="159"/>
      <c r="G1138" s="160"/>
    </row>
    <row r="1139" spans="2:7" x14ac:dyDescent="0.2">
      <c r="B1139" s="189" t="s">
        <v>454</v>
      </c>
      <c r="C1139" s="190" t="s">
        <v>2</v>
      </c>
      <c r="D1139" s="231">
        <v>7.0000000000000001E-3</v>
      </c>
      <c r="E1139" s="232"/>
      <c r="F1139" s="193">
        <v>121500</v>
      </c>
      <c r="G1139" s="194">
        <v>852.63</v>
      </c>
    </row>
    <row r="1140" spans="2:7" x14ac:dyDescent="0.2">
      <c r="B1140" s="195" t="s">
        <v>455</v>
      </c>
      <c r="C1140" s="233" t="s">
        <v>456</v>
      </c>
      <c r="D1140" s="234">
        <v>27567.27</v>
      </c>
      <c r="E1140" s="226"/>
      <c r="F1140" s="235"/>
      <c r="G1140" s="199" t="s">
        <v>457</v>
      </c>
    </row>
    <row r="1141" spans="2:7" x14ac:dyDescent="0.2">
      <c r="B1141" s="195" t="s">
        <v>458</v>
      </c>
      <c r="C1141" s="233" t="s">
        <v>456</v>
      </c>
      <c r="D1141" s="178">
        <v>27567.27</v>
      </c>
      <c r="E1141" s="226"/>
      <c r="F1141" s="235"/>
      <c r="G1141" s="199" t="s">
        <v>457</v>
      </c>
    </row>
    <row r="1142" spans="2:7" x14ac:dyDescent="0.2">
      <c r="B1142" s="157"/>
      <c r="C1142" s="158"/>
      <c r="D1142" s="156"/>
      <c r="E1142" s="156"/>
      <c r="F1142" s="159" t="s">
        <v>459</v>
      </c>
      <c r="G1142" s="173">
        <v>852.63</v>
      </c>
    </row>
    <row r="1143" spans="2:7" x14ac:dyDescent="0.2">
      <c r="B1143" s="157"/>
      <c r="C1143" s="158"/>
      <c r="D1143" s="156"/>
      <c r="E1143" s="156"/>
      <c r="F1143" s="159"/>
      <c r="G1143" s="160"/>
    </row>
    <row r="1144" spans="2:7" ht="17" thickBot="1" x14ac:dyDescent="0.25">
      <c r="B1144" s="206"/>
      <c r="C1144" s="207"/>
      <c r="D1144" s="208"/>
      <c r="E1144" s="209" t="s">
        <v>460</v>
      </c>
      <c r="F1144" s="210">
        <v>21169.31</v>
      </c>
      <c r="G1144" s="211">
        <v>28119</v>
      </c>
    </row>
    <row r="1145" spans="2:7" ht="17" thickTop="1" x14ac:dyDescent="0.2">
      <c r="B1145" s="212"/>
      <c r="C1145" s="213"/>
      <c r="D1145" s="212"/>
      <c r="E1145" s="212"/>
      <c r="F1145" s="212"/>
      <c r="G1145" s="212"/>
    </row>
    <row r="1146" spans="2:7" ht="17" thickBot="1" x14ac:dyDescent="0.25">
      <c r="B1146" s="212"/>
      <c r="C1146" s="213"/>
      <c r="D1146" s="212"/>
      <c r="E1146" s="212"/>
      <c r="F1146" s="212"/>
      <c r="G1146" s="212"/>
    </row>
    <row r="1147" spans="2:7" ht="17" thickTop="1" x14ac:dyDescent="0.2">
      <c r="B1147" s="537" t="s">
        <v>64</v>
      </c>
      <c r="C1147" s="538"/>
      <c r="D1147" s="538"/>
      <c r="E1147" s="538"/>
      <c r="F1147" s="148"/>
      <c r="G1147" s="149" t="s">
        <v>439</v>
      </c>
    </row>
    <row r="1148" spans="2:7" x14ac:dyDescent="0.2">
      <c r="B1148" s="539"/>
      <c r="C1148" s="540"/>
      <c r="D1148" s="540"/>
      <c r="E1148" s="540"/>
      <c r="F1148" s="150"/>
      <c r="G1148" s="151" t="s">
        <v>516</v>
      </c>
    </row>
    <row r="1149" spans="2:7" x14ac:dyDescent="0.2">
      <c r="B1149" s="152" t="s">
        <v>1</v>
      </c>
      <c r="C1149" s="153" t="s">
        <v>2</v>
      </c>
      <c r="D1149" s="153" t="s">
        <v>3</v>
      </c>
      <c r="E1149" s="153" t="s">
        <v>441</v>
      </c>
      <c r="F1149" s="154" t="s">
        <v>442</v>
      </c>
      <c r="G1149" s="155" t="s">
        <v>443</v>
      </c>
    </row>
    <row r="1150" spans="2:7" x14ac:dyDescent="0.2">
      <c r="B1150" s="157"/>
      <c r="C1150" s="158"/>
      <c r="D1150" s="156"/>
      <c r="E1150" s="156"/>
      <c r="F1150" s="159"/>
      <c r="G1150" s="160"/>
    </row>
    <row r="1151" spans="2:7" x14ac:dyDescent="0.2">
      <c r="B1151" s="161" t="s">
        <v>444</v>
      </c>
      <c r="C1151" s="158"/>
      <c r="D1151" s="156"/>
      <c r="E1151" s="156"/>
      <c r="F1151" s="159"/>
      <c r="G1151" s="160"/>
    </row>
    <row r="1152" spans="2:7" x14ac:dyDescent="0.2">
      <c r="B1152" s="162" t="s">
        <v>485</v>
      </c>
      <c r="C1152" s="163" t="s">
        <v>8</v>
      </c>
      <c r="D1152" s="164">
        <v>1</v>
      </c>
      <c r="E1152" s="224">
        <v>7.02</v>
      </c>
      <c r="F1152" s="166">
        <v>20209.61</v>
      </c>
      <c r="G1152" s="167">
        <v>21627.82</v>
      </c>
    </row>
    <row r="1153" spans="2:7" x14ac:dyDescent="0.2">
      <c r="B1153" s="184"/>
      <c r="C1153" s="185"/>
      <c r="D1153" s="170"/>
      <c r="E1153" s="170"/>
      <c r="F1153" s="222"/>
      <c r="G1153" s="188"/>
    </row>
    <row r="1154" spans="2:7" x14ac:dyDescent="0.2">
      <c r="B1154" s="157"/>
      <c r="C1154" s="158"/>
      <c r="D1154" s="156"/>
      <c r="E1154" s="156"/>
      <c r="F1154" s="159" t="s">
        <v>446</v>
      </c>
      <c r="G1154" s="183">
        <v>21627.82</v>
      </c>
    </row>
    <row r="1155" spans="2:7" x14ac:dyDescent="0.2">
      <c r="B1155" s="161" t="s">
        <v>447</v>
      </c>
      <c r="C1155" s="158"/>
      <c r="D1155" s="156"/>
      <c r="E1155" s="156"/>
      <c r="F1155" s="159"/>
      <c r="G1155" s="160"/>
    </row>
    <row r="1156" spans="2:7" x14ac:dyDescent="0.2">
      <c r="B1156" s="218" t="s">
        <v>448</v>
      </c>
      <c r="C1156" s="219" t="s">
        <v>2</v>
      </c>
      <c r="D1156" s="228">
        <v>1.75</v>
      </c>
      <c r="E1156" s="229"/>
      <c r="F1156" s="220">
        <v>1208.1199999999999</v>
      </c>
      <c r="G1156" s="221">
        <v>2119.5</v>
      </c>
    </row>
    <row r="1157" spans="2:7" x14ac:dyDescent="0.2">
      <c r="B1157" s="180"/>
      <c r="C1157" s="185"/>
      <c r="D1157" s="181"/>
      <c r="E1157" s="186"/>
      <c r="F1157" s="222"/>
      <c r="G1157" s="230"/>
    </row>
    <row r="1158" spans="2:7" x14ac:dyDescent="0.2">
      <c r="B1158" s="157"/>
      <c r="C1158" s="158"/>
      <c r="D1158" s="156"/>
      <c r="E1158" s="156"/>
      <c r="F1158" s="159" t="s">
        <v>449</v>
      </c>
      <c r="G1158" s="183">
        <v>2119.5</v>
      </c>
    </row>
    <row r="1159" spans="2:7" x14ac:dyDescent="0.2">
      <c r="B1159" s="161" t="s">
        <v>450</v>
      </c>
      <c r="C1159" s="158"/>
      <c r="D1159" s="156"/>
      <c r="E1159" s="156"/>
      <c r="F1159" s="159"/>
      <c r="G1159" s="160"/>
    </row>
    <row r="1160" spans="2:7" x14ac:dyDescent="0.2">
      <c r="B1160" s="184" t="s">
        <v>451</v>
      </c>
      <c r="C1160" s="185" t="s">
        <v>2</v>
      </c>
      <c r="D1160" s="178">
        <v>24457.84</v>
      </c>
      <c r="E1160" s="186"/>
      <c r="F1160" s="187">
        <v>0.02</v>
      </c>
      <c r="G1160" s="188">
        <v>489.15</v>
      </c>
    </row>
    <row r="1161" spans="2:7" x14ac:dyDescent="0.2">
      <c r="B1161" s="157"/>
      <c r="C1161" s="158"/>
      <c r="D1161" s="156"/>
      <c r="E1161" s="156"/>
      <c r="F1161" s="159" t="s">
        <v>452</v>
      </c>
      <c r="G1161" s="183">
        <v>489.15</v>
      </c>
    </row>
    <row r="1162" spans="2:7" x14ac:dyDescent="0.2">
      <c r="B1162" s="161" t="s">
        <v>453</v>
      </c>
      <c r="C1162" s="158"/>
      <c r="D1162" s="156"/>
      <c r="E1162" s="156"/>
      <c r="F1162" s="159"/>
      <c r="G1162" s="160"/>
    </row>
    <row r="1163" spans="2:7" x14ac:dyDescent="0.2">
      <c r="B1163" s="189" t="s">
        <v>454</v>
      </c>
      <c r="C1163" s="190" t="s">
        <v>2</v>
      </c>
      <c r="D1163" s="231">
        <v>6.0000000000000001E-3</v>
      </c>
      <c r="E1163" s="232"/>
      <c r="F1163" s="193">
        <v>121500</v>
      </c>
      <c r="G1163" s="194">
        <v>710.52</v>
      </c>
    </row>
    <row r="1164" spans="2:7" x14ac:dyDescent="0.2">
      <c r="B1164" s="195" t="s">
        <v>455</v>
      </c>
      <c r="C1164" s="233" t="s">
        <v>456</v>
      </c>
      <c r="D1164" s="234">
        <v>24457.84</v>
      </c>
      <c r="E1164" s="226"/>
      <c r="F1164" s="235"/>
      <c r="G1164" s="199" t="s">
        <v>457</v>
      </c>
    </row>
    <row r="1165" spans="2:7" x14ac:dyDescent="0.2">
      <c r="B1165" s="200" t="s">
        <v>458</v>
      </c>
      <c r="C1165" s="169" t="s">
        <v>456</v>
      </c>
      <c r="D1165" s="178">
        <v>24457.84</v>
      </c>
      <c r="E1165" s="170"/>
      <c r="F1165" s="238"/>
      <c r="G1165" s="204" t="s">
        <v>457</v>
      </c>
    </row>
    <row r="1166" spans="2:7" x14ac:dyDescent="0.2">
      <c r="B1166" s="180"/>
      <c r="C1166" s="169"/>
      <c r="D1166" s="205"/>
      <c r="E1166" s="170"/>
      <c r="F1166" s="171"/>
      <c r="G1166" s="230"/>
    </row>
    <row r="1167" spans="2:7" x14ac:dyDescent="0.2">
      <c r="B1167" s="157"/>
      <c r="C1167" s="158"/>
      <c r="D1167" s="156"/>
      <c r="E1167" s="156"/>
      <c r="F1167" s="159" t="s">
        <v>459</v>
      </c>
      <c r="G1167" s="183">
        <v>710.52</v>
      </c>
    </row>
    <row r="1168" spans="2:7" x14ac:dyDescent="0.2">
      <c r="B1168" s="157"/>
      <c r="C1168" s="158"/>
      <c r="D1168" s="156"/>
      <c r="E1168" s="156"/>
      <c r="F1168" s="159"/>
      <c r="G1168" s="160"/>
    </row>
    <row r="1169" spans="2:7" ht="17" thickBot="1" x14ac:dyDescent="0.25">
      <c r="B1169" s="206"/>
      <c r="C1169" s="207"/>
      <c r="D1169" s="208"/>
      <c r="E1169" s="209" t="s">
        <v>460</v>
      </c>
      <c r="F1169" s="210">
        <v>10397.379999999999</v>
      </c>
      <c r="G1169" s="211">
        <v>24947</v>
      </c>
    </row>
    <row r="1170" spans="2:7" ht="17" thickTop="1" x14ac:dyDescent="0.2">
      <c r="B1170" s="212"/>
      <c r="C1170" s="213"/>
      <c r="D1170" s="212"/>
      <c r="E1170" s="212"/>
      <c r="F1170" s="212"/>
      <c r="G1170" s="212"/>
    </row>
    <row r="1171" spans="2:7" ht="17" thickBot="1" x14ac:dyDescent="0.25">
      <c r="B1171" s="212"/>
      <c r="C1171" s="213"/>
      <c r="D1171" s="212"/>
      <c r="E1171" s="212"/>
      <c r="F1171" s="212"/>
      <c r="G1171" s="212"/>
    </row>
    <row r="1172" spans="2:7" ht="17" thickTop="1" x14ac:dyDescent="0.2">
      <c r="B1172" s="537" t="s">
        <v>65</v>
      </c>
      <c r="C1172" s="538"/>
      <c r="D1172" s="538"/>
      <c r="E1172" s="538"/>
      <c r="F1172" s="148"/>
      <c r="G1172" s="149" t="s">
        <v>439</v>
      </c>
    </row>
    <row r="1173" spans="2:7" x14ac:dyDescent="0.2">
      <c r="B1173" s="539"/>
      <c r="C1173" s="540"/>
      <c r="D1173" s="540"/>
      <c r="E1173" s="540"/>
      <c r="F1173" s="150"/>
      <c r="G1173" s="151" t="s">
        <v>517</v>
      </c>
    </row>
    <row r="1174" spans="2:7" x14ac:dyDescent="0.2">
      <c r="B1174" s="152" t="s">
        <v>1</v>
      </c>
      <c r="C1174" s="153" t="s">
        <v>2</v>
      </c>
      <c r="D1174" s="153" t="s">
        <v>3</v>
      </c>
      <c r="E1174" s="153" t="s">
        <v>441</v>
      </c>
      <c r="F1174" s="154" t="s">
        <v>442</v>
      </c>
      <c r="G1174" s="155" t="s">
        <v>443</v>
      </c>
    </row>
    <row r="1175" spans="2:7" x14ac:dyDescent="0.2">
      <c r="B1175" s="157"/>
      <c r="C1175" s="158"/>
      <c r="D1175" s="156"/>
      <c r="E1175" s="156"/>
      <c r="F1175" s="159"/>
      <c r="G1175" s="160"/>
    </row>
    <row r="1176" spans="2:7" x14ac:dyDescent="0.2">
      <c r="B1176" s="161" t="s">
        <v>444</v>
      </c>
      <c r="C1176" s="158"/>
      <c r="D1176" s="156"/>
      <c r="E1176" s="156"/>
      <c r="F1176" s="159"/>
      <c r="G1176" s="160"/>
    </row>
    <row r="1177" spans="2:7" x14ac:dyDescent="0.2">
      <c r="B1177" s="162" t="s">
        <v>485</v>
      </c>
      <c r="C1177" s="163" t="s">
        <v>8</v>
      </c>
      <c r="D1177" s="164">
        <v>0.52</v>
      </c>
      <c r="E1177" s="224">
        <v>7.02</v>
      </c>
      <c r="F1177" s="166">
        <v>20209.61</v>
      </c>
      <c r="G1177" s="167">
        <v>11345.74</v>
      </c>
    </row>
    <row r="1178" spans="2:7" x14ac:dyDescent="0.2">
      <c r="B1178" s="184"/>
      <c r="C1178" s="185"/>
      <c r="D1178" s="170"/>
      <c r="E1178" s="170"/>
      <c r="F1178" s="222"/>
      <c r="G1178" s="188"/>
    </row>
    <row r="1179" spans="2:7" x14ac:dyDescent="0.2">
      <c r="B1179" s="157"/>
      <c r="C1179" s="158"/>
      <c r="D1179" s="156"/>
      <c r="E1179" s="156"/>
      <c r="F1179" s="159" t="s">
        <v>446</v>
      </c>
      <c r="G1179" s="183">
        <v>11345.74</v>
      </c>
    </row>
    <row r="1180" spans="2:7" x14ac:dyDescent="0.2">
      <c r="B1180" s="161" t="s">
        <v>447</v>
      </c>
      <c r="C1180" s="158"/>
      <c r="D1180" s="156"/>
      <c r="E1180" s="156"/>
      <c r="F1180" s="159"/>
      <c r="G1180" s="160"/>
    </row>
    <row r="1181" spans="2:7" x14ac:dyDescent="0.2">
      <c r="B1181" s="218" t="s">
        <v>448</v>
      </c>
      <c r="C1181" s="219" t="s">
        <v>2</v>
      </c>
      <c r="D1181" s="228">
        <v>1.75</v>
      </c>
      <c r="E1181" s="229"/>
      <c r="F1181" s="220">
        <v>1208.1199999999999</v>
      </c>
      <c r="G1181" s="221">
        <v>2119.5</v>
      </c>
    </row>
    <row r="1182" spans="2:7" x14ac:dyDescent="0.2">
      <c r="B1182" s="180"/>
      <c r="C1182" s="185"/>
      <c r="D1182" s="181"/>
      <c r="E1182" s="186"/>
      <c r="F1182" s="222"/>
      <c r="G1182" s="230"/>
    </row>
    <row r="1183" spans="2:7" x14ac:dyDescent="0.2">
      <c r="B1183" s="157"/>
      <c r="C1183" s="158"/>
      <c r="D1183" s="156"/>
      <c r="E1183" s="156"/>
      <c r="F1183" s="159" t="s">
        <v>449</v>
      </c>
      <c r="G1183" s="183">
        <v>2119.5</v>
      </c>
    </row>
    <row r="1184" spans="2:7" x14ac:dyDescent="0.2">
      <c r="B1184" s="161" t="s">
        <v>450</v>
      </c>
      <c r="C1184" s="158"/>
      <c r="D1184" s="156"/>
      <c r="E1184" s="156"/>
      <c r="F1184" s="159"/>
      <c r="G1184" s="160"/>
    </row>
    <row r="1185" spans="2:7" x14ac:dyDescent="0.2">
      <c r="B1185" s="184" t="s">
        <v>451</v>
      </c>
      <c r="C1185" s="185" t="s">
        <v>2</v>
      </c>
      <c r="D1185" s="178">
        <v>14074.26</v>
      </c>
      <c r="E1185" s="186"/>
      <c r="F1185" s="187">
        <v>0.02</v>
      </c>
      <c r="G1185" s="188">
        <v>281.48</v>
      </c>
    </row>
    <row r="1186" spans="2:7" x14ac:dyDescent="0.2">
      <c r="B1186" s="157"/>
      <c r="C1186" s="158"/>
      <c r="D1186" s="156"/>
      <c r="E1186" s="156"/>
      <c r="F1186" s="159" t="s">
        <v>452</v>
      </c>
      <c r="G1186" s="183">
        <v>281.48</v>
      </c>
    </row>
    <row r="1187" spans="2:7" x14ac:dyDescent="0.2">
      <c r="B1187" s="161" t="s">
        <v>453</v>
      </c>
      <c r="C1187" s="158"/>
      <c r="D1187" s="156"/>
      <c r="E1187" s="156"/>
      <c r="F1187" s="159"/>
      <c r="G1187" s="160"/>
    </row>
    <row r="1188" spans="2:7" x14ac:dyDescent="0.2">
      <c r="B1188" s="189" t="s">
        <v>454</v>
      </c>
      <c r="C1188" s="190" t="s">
        <v>2</v>
      </c>
      <c r="D1188" s="231">
        <v>5.0000000000000001E-3</v>
      </c>
      <c r="E1188" s="232"/>
      <c r="F1188" s="193">
        <v>121500</v>
      </c>
      <c r="G1188" s="194">
        <v>609.02</v>
      </c>
    </row>
    <row r="1189" spans="2:7" x14ac:dyDescent="0.2">
      <c r="B1189" s="195" t="s">
        <v>455</v>
      </c>
      <c r="C1189" s="233" t="s">
        <v>456</v>
      </c>
      <c r="D1189" s="234">
        <v>14074.26</v>
      </c>
      <c r="E1189" s="226"/>
      <c r="F1189" s="235"/>
      <c r="G1189" s="199" t="s">
        <v>457</v>
      </c>
    </row>
    <row r="1190" spans="2:7" x14ac:dyDescent="0.2">
      <c r="B1190" s="195" t="s">
        <v>458</v>
      </c>
      <c r="C1190" s="233" t="s">
        <v>456</v>
      </c>
      <c r="D1190" s="178">
        <v>14074.26</v>
      </c>
      <c r="E1190" s="226"/>
      <c r="F1190" s="235"/>
      <c r="G1190" s="199" t="s">
        <v>457</v>
      </c>
    </row>
    <row r="1191" spans="2:7" x14ac:dyDescent="0.2">
      <c r="B1191" s="157"/>
      <c r="C1191" s="158"/>
      <c r="D1191" s="156"/>
      <c r="E1191" s="156"/>
      <c r="F1191" s="159" t="s">
        <v>459</v>
      </c>
      <c r="G1191" s="173">
        <v>609.02</v>
      </c>
    </row>
    <row r="1192" spans="2:7" x14ac:dyDescent="0.2">
      <c r="B1192" s="157"/>
      <c r="C1192" s="158"/>
      <c r="D1192" s="156"/>
      <c r="E1192" s="156"/>
      <c r="F1192" s="159"/>
      <c r="G1192" s="160"/>
    </row>
    <row r="1193" spans="2:7" ht="17" thickBot="1" x14ac:dyDescent="0.25">
      <c r="B1193" s="206"/>
      <c r="C1193" s="207"/>
      <c r="D1193" s="208"/>
      <c r="E1193" s="209" t="s">
        <v>460</v>
      </c>
      <c r="F1193" s="210">
        <v>7251.75</v>
      </c>
      <c r="G1193" s="211">
        <v>14356</v>
      </c>
    </row>
    <row r="1194" spans="2:7" ht="17" thickTop="1" x14ac:dyDescent="0.2">
      <c r="B1194" s="212"/>
      <c r="C1194" s="213"/>
      <c r="D1194" s="212"/>
      <c r="E1194" s="212"/>
      <c r="F1194" s="212"/>
      <c r="G1194" s="212"/>
    </row>
    <row r="1195" spans="2:7" ht="17" thickBot="1" x14ac:dyDescent="0.25">
      <c r="B1195" s="212"/>
      <c r="C1195" s="213"/>
      <c r="D1195" s="212"/>
      <c r="E1195" s="212"/>
      <c r="F1195" s="212"/>
      <c r="G1195" s="212"/>
    </row>
    <row r="1196" spans="2:7" ht="17" thickTop="1" x14ac:dyDescent="0.2">
      <c r="B1196" s="537" t="s">
        <v>66</v>
      </c>
      <c r="C1196" s="538"/>
      <c r="D1196" s="538"/>
      <c r="E1196" s="538"/>
      <c r="F1196" s="148"/>
      <c r="G1196" s="149" t="s">
        <v>439</v>
      </c>
    </row>
    <row r="1197" spans="2:7" x14ac:dyDescent="0.2">
      <c r="B1197" s="539"/>
      <c r="C1197" s="540"/>
      <c r="D1197" s="540"/>
      <c r="E1197" s="540"/>
      <c r="F1197" s="150"/>
      <c r="G1197" s="151" t="s">
        <v>518</v>
      </c>
    </row>
    <row r="1198" spans="2:7" x14ac:dyDescent="0.2">
      <c r="B1198" s="152" t="s">
        <v>1</v>
      </c>
      <c r="C1198" s="153" t="s">
        <v>2</v>
      </c>
      <c r="D1198" s="153" t="s">
        <v>3</v>
      </c>
      <c r="E1198" s="153" t="s">
        <v>441</v>
      </c>
      <c r="F1198" s="154" t="s">
        <v>442</v>
      </c>
      <c r="G1198" s="155" t="s">
        <v>443</v>
      </c>
    </row>
    <row r="1199" spans="2:7" x14ac:dyDescent="0.2">
      <c r="B1199" s="157"/>
      <c r="C1199" s="158"/>
      <c r="D1199" s="156"/>
      <c r="E1199" s="156"/>
      <c r="F1199" s="159"/>
      <c r="G1199" s="160"/>
    </row>
    <row r="1200" spans="2:7" x14ac:dyDescent="0.2">
      <c r="B1200" s="161" t="s">
        <v>444</v>
      </c>
      <c r="C1200" s="158"/>
      <c r="D1200" s="156"/>
      <c r="E1200" s="156"/>
      <c r="F1200" s="159"/>
      <c r="G1200" s="160"/>
    </row>
    <row r="1201" spans="2:7" x14ac:dyDescent="0.2">
      <c r="B1201" s="162" t="s">
        <v>485</v>
      </c>
      <c r="C1201" s="163" t="s">
        <v>8</v>
      </c>
      <c r="D1201" s="164">
        <v>0.36</v>
      </c>
      <c r="E1201" s="224">
        <v>7.02</v>
      </c>
      <c r="F1201" s="166">
        <v>20209.61</v>
      </c>
      <c r="G1201" s="167">
        <v>7800.2</v>
      </c>
    </row>
    <row r="1202" spans="2:7" x14ac:dyDescent="0.2">
      <c r="B1202" s="184"/>
      <c r="C1202" s="185"/>
      <c r="D1202" s="170"/>
      <c r="E1202" s="170"/>
      <c r="F1202" s="222"/>
      <c r="G1202" s="188"/>
    </row>
    <row r="1203" spans="2:7" x14ac:dyDescent="0.2">
      <c r="B1203" s="157"/>
      <c r="C1203" s="158"/>
      <c r="D1203" s="156"/>
      <c r="E1203" s="156"/>
      <c r="F1203" s="159" t="s">
        <v>446</v>
      </c>
      <c r="G1203" s="183">
        <v>7800.2</v>
      </c>
    </row>
    <row r="1204" spans="2:7" x14ac:dyDescent="0.2">
      <c r="B1204" s="161" t="s">
        <v>447</v>
      </c>
      <c r="C1204" s="158"/>
      <c r="D1204" s="156"/>
      <c r="E1204" s="156"/>
      <c r="F1204" s="159"/>
      <c r="G1204" s="160"/>
    </row>
    <row r="1205" spans="2:7" x14ac:dyDescent="0.2">
      <c r="B1205" s="218" t="s">
        <v>448</v>
      </c>
      <c r="C1205" s="219" t="s">
        <v>2</v>
      </c>
      <c r="D1205" s="228">
        <v>1.23</v>
      </c>
      <c r="E1205" s="229"/>
      <c r="F1205" s="220">
        <v>1208.1199999999999</v>
      </c>
      <c r="G1205" s="221">
        <v>1483.65</v>
      </c>
    </row>
    <row r="1206" spans="2:7" x14ac:dyDescent="0.2">
      <c r="B1206" s="180"/>
      <c r="C1206" s="185"/>
      <c r="D1206" s="181"/>
      <c r="E1206" s="186"/>
      <c r="F1206" s="222"/>
      <c r="G1206" s="230"/>
    </row>
    <row r="1207" spans="2:7" x14ac:dyDescent="0.2">
      <c r="B1207" s="157"/>
      <c r="C1207" s="158"/>
      <c r="D1207" s="156"/>
      <c r="E1207" s="156"/>
      <c r="F1207" s="159" t="s">
        <v>449</v>
      </c>
      <c r="G1207" s="183">
        <v>1483.65</v>
      </c>
    </row>
    <row r="1208" spans="2:7" x14ac:dyDescent="0.2">
      <c r="B1208" s="161" t="s">
        <v>450</v>
      </c>
      <c r="C1208" s="158"/>
      <c r="D1208" s="156"/>
      <c r="E1208" s="156"/>
      <c r="F1208" s="159"/>
      <c r="G1208" s="160"/>
    </row>
    <row r="1209" spans="2:7" x14ac:dyDescent="0.2">
      <c r="B1209" s="184" t="s">
        <v>451</v>
      </c>
      <c r="C1209" s="185" t="s">
        <v>2</v>
      </c>
      <c r="D1209" s="178">
        <v>9816.74</v>
      </c>
      <c r="E1209" s="186"/>
      <c r="F1209" s="187">
        <v>0.02</v>
      </c>
      <c r="G1209" s="188">
        <v>196.33</v>
      </c>
    </row>
    <row r="1210" spans="2:7" x14ac:dyDescent="0.2">
      <c r="B1210" s="157"/>
      <c r="C1210" s="158"/>
      <c r="D1210" s="156"/>
      <c r="E1210" s="156"/>
      <c r="F1210" s="159" t="s">
        <v>452</v>
      </c>
      <c r="G1210" s="183">
        <v>196.33</v>
      </c>
    </row>
    <row r="1211" spans="2:7" x14ac:dyDescent="0.2">
      <c r="B1211" s="161" t="s">
        <v>453</v>
      </c>
      <c r="C1211" s="158"/>
      <c r="D1211" s="156"/>
      <c r="E1211" s="156"/>
      <c r="F1211" s="159"/>
      <c r="G1211" s="160"/>
    </row>
    <row r="1212" spans="2:7" x14ac:dyDescent="0.2">
      <c r="B1212" s="189" t="s">
        <v>454</v>
      </c>
      <c r="C1212" s="190" t="s">
        <v>2</v>
      </c>
      <c r="D1212" s="231">
        <v>4.0000000000000001E-3</v>
      </c>
      <c r="E1212" s="232"/>
      <c r="F1212" s="193">
        <v>121500</v>
      </c>
      <c r="G1212" s="194">
        <v>532.89</v>
      </c>
    </row>
    <row r="1213" spans="2:7" x14ac:dyDescent="0.2">
      <c r="B1213" s="239" t="s">
        <v>455</v>
      </c>
      <c r="C1213" s="240" t="s">
        <v>456</v>
      </c>
      <c r="D1213" s="241">
        <v>9816.74</v>
      </c>
      <c r="E1213" s="242"/>
      <c r="F1213" s="243"/>
      <c r="G1213" s="199" t="s">
        <v>457</v>
      </c>
    </row>
    <row r="1214" spans="2:7" x14ac:dyDescent="0.2">
      <c r="B1214" s="200" t="s">
        <v>458</v>
      </c>
      <c r="C1214" s="169" t="s">
        <v>456</v>
      </c>
      <c r="D1214" s="178">
        <v>9816.74</v>
      </c>
      <c r="E1214" s="170"/>
      <c r="F1214" s="238"/>
      <c r="G1214" s="204" t="s">
        <v>457</v>
      </c>
    </row>
    <row r="1215" spans="2:7" x14ac:dyDescent="0.2">
      <c r="B1215" s="180"/>
      <c r="C1215" s="169"/>
      <c r="D1215" s="205"/>
      <c r="E1215" s="170"/>
      <c r="F1215" s="171"/>
      <c r="G1215" s="230"/>
    </row>
    <row r="1216" spans="2:7" x14ac:dyDescent="0.2">
      <c r="B1216" s="157"/>
      <c r="C1216" s="158"/>
      <c r="D1216" s="156"/>
      <c r="E1216" s="156"/>
      <c r="F1216" s="159" t="s">
        <v>459</v>
      </c>
      <c r="G1216" s="183">
        <v>532.89</v>
      </c>
    </row>
    <row r="1217" spans="2:7" x14ac:dyDescent="0.2">
      <c r="B1217" s="157"/>
      <c r="C1217" s="158"/>
      <c r="D1217" s="156"/>
      <c r="E1217" s="156"/>
      <c r="F1217" s="159"/>
      <c r="G1217" s="160"/>
    </row>
    <row r="1218" spans="2:7" ht="17" thickBot="1" x14ac:dyDescent="0.25">
      <c r="B1218" s="206"/>
      <c r="C1218" s="207"/>
      <c r="D1218" s="208"/>
      <c r="E1218" s="209" t="s">
        <v>460</v>
      </c>
      <c r="F1218" s="210">
        <v>119566.2</v>
      </c>
      <c r="G1218" s="211">
        <v>10013</v>
      </c>
    </row>
    <row r="1219" spans="2:7" ht="17" thickTop="1" x14ac:dyDescent="0.2">
      <c r="B1219" s="212"/>
      <c r="C1219" s="213"/>
      <c r="D1219" s="212"/>
      <c r="E1219" s="212"/>
      <c r="F1219" s="212"/>
      <c r="G1219" s="212"/>
    </row>
    <row r="1220" spans="2:7" x14ac:dyDescent="0.2">
      <c r="B1220" s="212"/>
      <c r="C1220" s="213"/>
      <c r="D1220" s="212"/>
      <c r="E1220" s="212"/>
      <c r="F1220" s="212"/>
      <c r="G1220" s="212"/>
    </row>
    <row r="1221" spans="2:7" x14ac:dyDescent="0.2">
      <c r="B1221" s="212"/>
      <c r="C1221" s="213"/>
      <c r="D1221" s="212"/>
      <c r="E1221" s="212"/>
      <c r="F1221" s="212"/>
      <c r="G1221" s="212"/>
    </row>
    <row r="1222" spans="2:7" x14ac:dyDescent="0.2">
      <c r="B1222" s="212"/>
      <c r="C1222" s="213"/>
      <c r="D1222" s="212"/>
      <c r="E1222" s="212"/>
      <c r="F1222" s="212"/>
      <c r="G1222" s="212"/>
    </row>
    <row r="1223" spans="2:7" ht="17" thickBot="1" x14ac:dyDescent="0.25">
      <c r="B1223" s="212"/>
      <c r="C1223" s="213"/>
      <c r="D1223" s="212"/>
      <c r="E1223" s="212"/>
      <c r="F1223" s="212"/>
      <c r="G1223" s="212"/>
    </row>
    <row r="1224" spans="2:7" ht="17" thickTop="1" x14ac:dyDescent="0.2">
      <c r="B1224" s="537" t="s">
        <v>69</v>
      </c>
      <c r="C1224" s="538"/>
      <c r="D1224" s="538"/>
      <c r="E1224" s="538"/>
      <c r="F1224" s="148"/>
      <c r="G1224" s="149" t="s">
        <v>439</v>
      </c>
    </row>
    <row r="1225" spans="2:7" x14ac:dyDescent="0.2">
      <c r="B1225" s="539"/>
      <c r="C1225" s="540"/>
      <c r="D1225" s="540"/>
      <c r="E1225" s="540"/>
      <c r="F1225" s="150"/>
      <c r="G1225" s="151" t="s">
        <v>519</v>
      </c>
    </row>
    <row r="1226" spans="2:7" x14ac:dyDescent="0.2">
      <c r="B1226" s="152" t="s">
        <v>1</v>
      </c>
      <c r="C1226" s="153" t="s">
        <v>2</v>
      </c>
      <c r="D1226" s="153" t="s">
        <v>3</v>
      </c>
      <c r="E1226" s="153" t="s">
        <v>441</v>
      </c>
      <c r="F1226" s="154" t="s">
        <v>442</v>
      </c>
      <c r="G1226" s="155" t="s">
        <v>443</v>
      </c>
    </row>
    <row r="1227" spans="2:7" x14ac:dyDescent="0.2">
      <c r="B1227" s="157"/>
      <c r="C1227" s="158"/>
      <c r="D1227" s="156"/>
      <c r="E1227" s="156"/>
      <c r="F1227" s="159"/>
      <c r="G1227" s="160"/>
    </row>
    <row r="1228" spans="2:7" x14ac:dyDescent="0.2">
      <c r="B1228" s="161" t="s">
        <v>444</v>
      </c>
      <c r="C1228" s="158"/>
      <c r="D1228" s="156"/>
      <c r="E1228" s="156"/>
      <c r="F1228" s="159"/>
      <c r="G1228" s="160"/>
    </row>
    <row r="1229" spans="2:7" x14ac:dyDescent="0.2">
      <c r="B1229" s="168" t="s">
        <v>520</v>
      </c>
      <c r="C1229" s="225" t="s">
        <v>8</v>
      </c>
      <c r="D1229" s="248">
        <v>0.2</v>
      </c>
      <c r="E1229" s="192"/>
      <c r="F1229" s="249">
        <v>7517</v>
      </c>
      <c r="G1229" s="172">
        <v>1503.4</v>
      </c>
    </row>
    <row r="1230" spans="2:7" x14ac:dyDescent="0.2">
      <c r="B1230" s="195" t="s">
        <v>521</v>
      </c>
      <c r="C1230" s="233" t="s">
        <v>2</v>
      </c>
      <c r="D1230" s="250">
        <v>4</v>
      </c>
      <c r="E1230" s="226"/>
      <c r="F1230" s="251">
        <v>56</v>
      </c>
      <c r="G1230" s="199">
        <v>224</v>
      </c>
    </row>
    <row r="1231" spans="2:7" x14ac:dyDescent="0.2">
      <c r="B1231" s="195" t="s">
        <v>522</v>
      </c>
      <c r="C1231" s="233" t="s">
        <v>2</v>
      </c>
      <c r="D1231" s="250">
        <v>0.02</v>
      </c>
      <c r="E1231" s="226"/>
      <c r="F1231" s="251">
        <v>35343</v>
      </c>
      <c r="G1231" s="199">
        <v>814.74</v>
      </c>
    </row>
    <row r="1232" spans="2:7" x14ac:dyDescent="0.2">
      <c r="B1232" s="180"/>
      <c r="C1232" s="185"/>
      <c r="D1232" s="181"/>
      <c r="E1232" s="186"/>
      <c r="F1232" s="222"/>
      <c r="G1232" s="230"/>
    </row>
    <row r="1233" spans="2:7" x14ac:dyDescent="0.2">
      <c r="B1233" s="157"/>
      <c r="C1233" s="158"/>
      <c r="D1233" s="156"/>
      <c r="E1233" s="156"/>
      <c r="F1233" s="159" t="s">
        <v>446</v>
      </c>
      <c r="G1233" s="252">
        <v>2542.14</v>
      </c>
    </row>
    <row r="1234" spans="2:7" x14ac:dyDescent="0.2">
      <c r="B1234" s="161" t="s">
        <v>447</v>
      </c>
      <c r="C1234" s="158"/>
      <c r="D1234" s="156"/>
      <c r="E1234" s="156"/>
      <c r="F1234" s="159"/>
      <c r="G1234" s="160"/>
    </row>
    <row r="1235" spans="2:7" x14ac:dyDescent="0.2">
      <c r="B1235" s="189" t="s">
        <v>523</v>
      </c>
      <c r="C1235" s="253">
        <v>401056</v>
      </c>
      <c r="D1235" s="254">
        <v>1.47</v>
      </c>
      <c r="E1235" s="255">
        <v>589552</v>
      </c>
      <c r="F1235" s="255">
        <v>28.9</v>
      </c>
      <c r="G1235" s="256">
        <v>20399.72</v>
      </c>
    </row>
    <row r="1236" spans="2:7" x14ac:dyDescent="0.2">
      <c r="B1236" s="195" t="s">
        <v>524</v>
      </c>
      <c r="C1236" s="257">
        <v>107473.5</v>
      </c>
      <c r="D1236" s="181">
        <v>1.47</v>
      </c>
      <c r="E1236" s="255">
        <v>157986</v>
      </c>
      <c r="F1236" s="258">
        <v>28.9</v>
      </c>
      <c r="G1236" s="188">
        <v>5466.64</v>
      </c>
    </row>
    <row r="1237" spans="2:7" x14ac:dyDescent="0.2">
      <c r="B1237" s="259" t="s">
        <v>525</v>
      </c>
      <c r="C1237" s="260">
        <v>272539.5</v>
      </c>
      <c r="D1237" s="261">
        <v>1.47</v>
      </c>
      <c r="E1237" s="262">
        <v>400633</v>
      </c>
      <c r="F1237" s="263">
        <v>87.58</v>
      </c>
      <c r="G1237" s="182">
        <v>4574.7</v>
      </c>
    </row>
    <row r="1238" spans="2:7" x14ac:dyDescent="0.2">
      <c r="B1238" s="180"/>
      <c r="C1238" s="185"/>
      <c r="D1238" s="181"/>
      <c r="E1238" s="186"/>
      <c r="F1238" s="222"/>
      <c r="G1238" s="230"/>
    </row>
    <row r="1239" spans="2:7" x14ac:dyDescent="0.2">
      <c r="B1239" s="157"/>
      <c r="C1239" s="158"/>
      <c r="D1239" s="156"/>
      <c r="E1239" s="156"/>
      <c r="F1239" s="159" t="s">
        <v>449</v>
      </c>
      <c r="G1239" s="183">
        <v>30441.07</v>
      </c>
    </row>
    <row r="1240" spans="2:7" x14ac:dyDescent="0.2">
      <c r="B1240" s="161" t="s">
        <v>450</v>
      </c>
      <c r="C1240" s="158"/>
      <c r="D1240" s="156"/>
      <c r="E1240" s="156"/>
      <c r="F1240" s="159"/>
      <c r="G1240" s="160"/>
    </row>
    <row r="1241" spans="2:7" x14ac:dyDescent="0.2">
      <c r="B1241" s="264" t="s">
        <v>526</v>
      </c>
      <c r="C1241" s="265" t="s">
        <v>456</v>
      </c>
      <c r="D1241" s="266">
        <v>0.05</v>
      </c>
      <c r="E1241" s="267"/>
      <c r="F1241" s="268">
        <v>30441.07</v>
      </c>
      <c r="G1241" s="256">
        <v>1522.05</v>
      </c>
    </row>
    <row r="1242" spans="2:7" x14ac:dyDescent="0.2">
      <c r="B1242" s="269" t="s">
        <v>527</v>
      </c>
      <c r="C1242" s="270" t="s">
        <v>114</v>
      </c>
      <c r="D1242" s="271">
        <v>0.1038</v>
      </c>
      <c r="E1242" s="223"/>
      <c r="F1242" s="272">
        <v>1600</v>
      </c>
      <c r="G1242" s="273">
        <v>166.08</v>
      </c>
    </row>
    <row r="1243" spans="2:7" x14ac:dyDescent="0.2">
      <c r="B1243" s="200" t="s">
        <v>528</v>
      </c>
      <c r="C1243" s="270" t="s">
        <v>114</v>
      </c>
      <c r="D1243" s="274">
        <v>6.9199999999999998E-2</v>
      </c>
      <c r="E1243" s="170"/>
      <c r="F1243" s="275">
        <v>1600</v>
      </c>
      <c r="G1243" s="204">
        <v>110.72</v>
      </c>
    </row>
    <row r="1244" spans="2:7" x14ac:dyDescent="0.2">
      <c r="B1244" s="180"/>
      <c r="C1244" s="169"/>
      <c r="D1244" s="181"/>
      <c r="E1244" s="186"/>
      <c r="F1244" s="222"/>
      <c r="G1244" s="230"/>
    </row>
    <row r="1245" spans="2:7" x14ac:dyDescent="0.2">
      <c r="B1245" s="157"/>
      <c r="C1245" s="158"/>
      <c r="D1245" s="156"/>
      <c r="E1245" s="156"/>
      <c r="F1245" s="159" t="s">
        <v>452</v>
      </c>
      <c r="G1245" s="183">
        <v>1798.85</v>
      </c>
    </row>
    <row r="1246" spans="2:7" x14ac:dyDescent="0.2">
      <c r="B1246" s="161" t="s">
        <v>453</v>
      </c>
      <c r="C1246" s="158"/>
      <c r="D1246" s="156"/>
      <c r="E1246" s="156"/>
      <c r="F1246" s="159"/>
      <c r="G1246" s="160"/>
    </row>
    <row r="1247" spans="2:7" x14ac:dyDescent="0.2">
      <c r="B1247" s="189" t="s">
        <v>454</v>
      </c>
      <c r="C1247" s="190" t="s">
        <v>2</v>
      </c>
      <c r="D1247" s="191">
        <v>1.7000000000000001E-2</v>
      </c>
      <c r="E1247" s="232"/>
      <c r="F1247" s="193">
        <v>121500</v>
      </c>
      <c r="G1247" s="194">
        <v>2025</v>
      </c>
    </row>
    <row r="1248" spans="2:7" x14ac:dyDescent="0.2">
      <c r="B1248" s="200" t="s">
        <v>529</v>
      </c>
      <c r="C1248" s="169" t="s">
        <v>2</v>
      </c>
      <c r="D1248" s="191">
        <v>3.0000000000000001E-3</v>
      </c>
      <c r="E1248" s="170"/>
      <c r="F1248" s="193">
        <v>255000</v>
      </c>
      <c r="G1248" s="204">
        <v>850</v>
      </c>
    </row>
    <row r="1249" spans="2:7" x14ac:dyDescent="0.2">
      <c r="B1249" s="195" t="s">
        <v>530</v>
      </c>
      <c r="C1249" s="233" t="s">
        <v>114</v>
      </c>
      <c r="D1249" s="191">
        <v>0.114</v>
      </c>
      <c r="E1249" s="226"/>
      <c r="F1249" s="193">
        <v>12100</v>
      </c>
      <c r="G1249" s="199">
        <v>1382.85</v>
      </c>
    </row>
    <row r="1250" spans="2:7" x14ac:dyDescent="0.2">
      <c r="B1250" s="239" t="s">
        <v>458</v>
      </c>
      <c r="C1250" s="240" t="s">
        <v>456</v>
      </c>
      <c r="D1250" s="247">
        <v>39039.910000000003</v>
      </c>
      <c r="E1250" s="242"/>
      <c r="F1250" s="243"/>
      <c r="G1250" s="199" t="s">
        <v>457</v>
      </c>
    </row>
    <row r="1251" spans="2:7" x14ac:dyDescent="0.2">
      <c r="B1251" s="239" t="s">
        <v>455</v>
      </c>
      <c r="C1251" s="240" t="s">
        <v>456</v>
      </c>
      <c r="D1251" s="247">
        <v>39039.910000000003</v>
      </c>
      <c r="E1251" s="242"/>
      <c r="F1251" s="243"/>
      <c r="G1251" s="199" t="s">
        <v>457</v>
      </c>
    </row>
    <row r="1252" spans="2:7" x14ac:dyDescent="0.2">
      <c r="B1252" s="236"/>
      <c r="C1252" s="185"/>
      <c r="D1252" s="205"/>
      <c r="E1252" s="186"/>
      <c r="F1252" s="222"/>
      <c r="G1252" s="237"/>
    </row>
    <row r="1253" spans="2:7" x14ac:dyDescent="0.2">
      <c r="B1253" s="157"/>
      <c r="C1253" s="158"/>
      <c r="D1253" s="156"/>
      <c r="E1253" s="156"/>
      <c r="F1253" s="159" t="s">
        <v>459</v>
      </c>
      <c r="G1253" s="183">
        <v>4257.8500000000004</v>
      </c>
    </row>
    <row r="1254" spans="2:7" x14ac:dyDescent="0.2">
      <c r="B1254" s="157"/>
      <c r="C1254" s="158"/>
      <c r="D1254" s="156"/>
      <c r="E1254" s="156"/>
      <c r="F1254" s="159"/>
      <c r="G1254" s="160"/>
    </row>
    <row r="1255" spans="2:7" ht="17" thickBot="1" x14ac:dyDescent="0.25">
      <c r="B1255" s="206"/>
      <c r="C1255" s="207"/>
      <c r="D1255" s="208"/>
      <c r="E1255" s="209" t="s">
        <v>460</v>
      </c>
      <c r="F1255" s="210">
        <v>887030.95</v>
      </c>
      <c r="G1255" s="211">
        <v>39040</v>
      </c>
    </row>
    <row r="1256" spans="2:7" ht="17" thickTop="1" x14ac:dyDescent="0.2">
      <c r="B1256" s="212"/>
      <c r="C1256" s="213"/>
      <c r="D1256" s="212"/>
      <c r="E1256" s="212"/>
      <c r="F1256" s="212"/>
      <c r="G1256" s="212"/>
    </row>
    <row r="1257" spans="2:7" ht="17" thickBot="1" x14ac:dyDescent="0.25">
      <c r="B1257" s="212"/>
      <c r="C1257" s="213"/>
      <c r="D1257" s="212"/>
      <c r="E1257" s="212"/>
      <c r="F1257" s="212"/>
      <c r="G1257" s="212"/>
    </row>
    <row r="1258" spans="2:7" ht="17" thickTop="1" x14ac:dyDescent="0.2">
      <c r="B1258" s="537" t="s">
        <v>531</v>
      </c>
      <c r="C1258" s="538"/>
      <c r="D1258" s="538"/>
      <c r="E1258" s="538"/>
      <c r="F1258" s="148"/>
      <c r="G1258" s="149" t="s">
        <v>439</v>
      </c>
    </row>
    <row r="1259" spans="2:7" x14ac:dyDescent="0.2">
      <c r="B1259" s="539"/>
      <c r="C1259" s="540"/>
      <c r="D1259" s="540"/>
      <c r="E1259" s="540"/>
      <c r="F1259" s="150"/>
      <c r="G1259" s="151" t="s">
        <v>532</v>
      </c>
    </row>
    <row r="1260" spans="2:7" x14ac:dyDescent="0.2">
      <c r="B1260" s="152" t="s">
        <v>1</v>
      </c>
      <c r="C1260" s="153" t="s">
        <v>2</v>
      </c>
      <c r="D1260" s="153" t="s">
        <v>3</v>
      </c>
      <c r="E1260" s="153" t="s">
        <v>441</v>
      </c>
      <c r="F1260" s="154" t="s">
        <v>442</v>
      </c>
      <c r="G1260" s="155" t="s">
        <v>443</v>
      </c>
    </row>
    <row r="1261" spans="2:7" x14ac:dyDescent="0.2">
      <c r="B1261" s="157"/>
      <c r="C1261" s="158"/>
      <c r="D1261" s="156"/>
      <c r="E1261" s="156"/>
      <c r="F1261" s="159"/>
      <c r="G1261" s="160"/>
    </row>
    <row r="1262" spans="2:7" x14ac:dyDescent="0.2">
      <c r="B1262" s="161" t="s">
        <v>444</v>
      </c>
      <c r="C1262" s="158"/>
      <c r="D1262" s="156"/>
      <c r="E1262" s="156"/>
      <c r="F1262" s="159"/>
      <c r="G1262" s="160"/>
    </row>
    <row r="1263" spans="2:7" x14ac:dyDescent="0.2">
      <c r="B1263" s="184" t="s">
        <v>533</v>
      </c>
      <c r="C1263" s="225" t="s">
        <v>2</v>
      </c>
      <c r="D1263" s="248">
        <v>2</v>
      </c>
      <c r="E1263" s="192"/>
      <c r="F1263" s="249">
        <v>317</v>
      </c>
      <c r="G1263" s="188">
        <v>634</v>
      </c>
    </row>
    <row r="1264" spans="2:7" x14ac:dyDescent="0.2">
      <c r="B1264" s="200" t="s">
        <v>534</v>
      </c>
      <c r="C1264" s="233" t="s">
        <v>2</v>
      </c>
      <c r="D1264" s="250">
        <v>0.01</v>
      </c>
      <c r="E1264" s="226"/>
      <c r="F1264" s="251">
        <v>126140</v>
      </c>
      <c r="G1264" s="204">
        <v>630.70000000000005</v>
      </c>
    </row>
    <row r="1265" spans="2:7" x14ac:dyDescent="0.2">
      <c r="B1265" s="195" t="s">
        <v>522</v>
      </c>
      <c r="C1265" s="233" t="s">
        <v>2</v>
      </c>
      <c r="D1265" s="250">
        <v>7.0000000000000007E-2</v>
      </c>
      <c r="E1265" s="226"/>
      <c r="F1265" s="251">
        <v>35343</v>
      </c>
      <c r="G1265" s="199">
        <v>2546.5500000000002</v>
      </c>
    </row>
    <row r="1266" spans="2:7" x14ac:dyDescent="0.2">
      <c r="B1266" s="180"/>
      <c r="C1266" s="185"/>
      <c r="D1266" s="181"/>
      <c r="E1266" s="186"/>
      <c r="F1266" s="222"/>
      <c r="G1266" s="230"/>
    </row>
    <row r="1267" spans="2:7" x14ac:dyDescent="0.2">
      <c r="B1267" s="157"/>
      <c r="C1267" s="158"/>
      <c r="D1267" s="156"/>
      <c r="E1267" s="156"/>
      <c r="F1267" s="159" t="s">
        <v>446</v>
      </c>
      <c r="G1267" s="183">
        <v>3811.25</v>
      </c>
    </row>
    <row r="1268" spans="2:7" x14ac:dyDescent="0.2">
      <c r="B1268" s="161" t="s">
        <v>447</v>
      </c>
      <c r="C1268" s="158"/>
      <c r="D1268" s="156"/>
      <c r="E1268" s="156"/>
      <c r="F1268" s="159"/>
      <c r="G1268" s="160"/>
    </row>
    <row r="1269" spans="2:7" x14ac:dyDescent="0.2">
      <c r="B1269" s="189" t="s">
        <v>523</v>
      </c>
      <c r="C1269" s="253">
        <v>401056</v>
      </c>
      <c r="D1269" s="254">
        <v>1.47</v>
      </c>
      <c r="E1269" s="255">
        <v>589552</v>
      </c>
      <c r="F1269" s="255">
        <v>40.5</v>
      </c>
      <c r="G1269" s="256">
        <v>14556.84</v>
      </c>
    </row>
    <row r="1270" spans="2:7" x14ac:dyDescent="0.2">
      <c r="B1270" s="200" t="s">
        <v>524</v>
      </c>
      <c r="C1270" s="276">
        <v>107473.5</v>
      </c>
      <c r="D1270" s="266">
        <v>1.47</v>
      </c>
      <c r="E1270" s="255">
        <v>157986</v>
      </c>
      <c r="F1270" s="277">
        <v>40.5</v>
      </c>
      <c r="G1270" s="256">
        <v>3900.89</v>
      </c>
    </row>
    <row r="1271" spans="2:7" x14ac:dyDescent="0.2">
      <c r="B1271" s="200" t="s">
        <v>525</v>
      </c>
      <c r="C1271" s="257">
        <v>272539.5</v>
      </c>
      <c r="D1271" s="261">
        <v>1.47</v>
      </c>
      <c r="E1271" s="262">
        <v>400633</v>
      </c>
      <c r="F1271" s="278">
        <v>122.73</v>
      </c>
      <c r="G1271" s="279">
        <v>3264.42</v>
      </c>
    </row>
    <row r="1272" spans="2:7" x14ac:dyDescent="0.2">
      <c r="B1272" s="180"/>
      <c r="C1272" s="185"/>
      <c r="D1272" s="181"/>
      <c r="E1272" s="186"/>
      <c r="F1272" s="222"/>
      <c r="G1272" s="230"/>
    </row>
    <row r="1273" spans="2:7" x14ac:dyDescent="0.2">
      <c r="B1273" s="157"/>
      <c r="C1273" s="158"/>
      <c r="D1273" s="156"/>
      <c r="E1273" s="156"/>
      <c r="F1273" s="159" t="s">
        <v>449</v>
      </c>
      <c r="G1273" s="183">
        <v>21722.14</v>
      </c>
    </row>
    <row r="1274" spans="2:7" x14ac:dyDescent="0.2">
      <c r="B1274" s="161" t="s">
        <v>450</v>
      </c>
      <c r="C1274" s="158"/>
      <c r="D1274" s="156"/>
      <c r="E1274" s="156"/>
      <c r="F1274" s="159"/>
      <c r="G1274" s="160"/>
    </row>
    <row r="1275" spans="2:7" x14ac:dyDescent="0.2">
      <c r="B1275" s="280" t="s">
        <v>527</v>
      </c>
      <c r="C1275" s="265" t="s">
        <v>114</v>
      </c>
      <c r="D1275" s="271">
        <v>7.4099999999999999E-2</v>
      </c>
      <c r="E1275" s="267"/>
      <c r="F1275" s="272">
        <v>1600</v>
      </c>
      <c r="G1275" s="281">
        <v>118.51</v>
      </c>
    </row>
    <row r="1276" spans="2:7" x14ac:dyDescent="0.2">
      <c r="B1276" s="189" t="s">
        <v>267</v>
      </c>
      <c r="C1276" s="190" t="s">
        <v>114</v>
      </c>
      <c r="D1276" s="271">
        <v>7.4099999999999999E-2</v>
      </c>
      <c r="E1276" s="232"/>
      <c r="F1276" s="282">
        <v>1900</v>
      </c>
      <c r="G1276" s="194">
        <v>140.74</v>
      </c>
    </row>
    <row r="1277" spans="2:7" x14ac:dyDescent="0.2">
      <c r="B1277" s="200" t="s">
        <v>528</v>
      </c>
      <c r="C1277" s="169" t="s">
        <v>535</v>
      </c>
      <c r="D1277" s="274">
        <v>4.9399999999999999E-2</v>
      </c>
      <c r="E1277" s="170"/>
      <c r="F1277" s="283">
        <v>1600</v>
      </c>
      <c r="G1277" s="204">
        <v>79.010000000000005</v>
      </c>
    </row>
    <row r="1278" spans="2:7" x14ac:dyDescent="0.2">
      <c r="B1278" s="180"/>
      <c r="C1278" s="185"/>
      <c r="D1278" s="284"/>
      <c r="E1278" s="186"/>
      <c r="F1278" s="222"/>
      <c r="G1278" s="230"/>
    </row>
    <row r="1279" spans="2:7" x14ac:dyDescent="0.2">
      <c r="B1279" s="157"/>
      <c r="C1279" s="285"/>
      <c r="D1279" s="181"/>
      <c r="E1279" s="186"/>
      <c r="F1279" s="222" t="s">
        <v>452</v>
      </c>
      <c r="G1279" s="286">
        <v>338.26</v>
      </c>
    </row>
    <row r="1280" spans="2:7" x14ac:dyDescent="0.2">
      <c r="B1280" s="161" t="s">
        <v>453</v>
      </c>
      <c r="C1280" s="158"/>
      <c r="D1280" s="156"/>
      <c r="E1280" s="156"/>
      <c r="F1280" s="159"/>
      <c r="G1280" s="160"/>
    </row>
    <row r="1281" spans="2:7" x14ac:dyDescent="0.2">
      <c r="B1281" s="162" t="s">
        <v>529</v>
      </c>
      <c r="C1281" s="190" t="s">
        <v>2</v>
      </c>
      <c r="D1281" s="191">
        <v>3.0000000000000001E-3</v>
      </c>
      <c r="E1281" s="232"/>
      <c r="F1281" s="193">
        <v>255000</v>
      </c>
      <c r="G1281" s="167">
        <v>850</v>
      </c>
    </row>
    <row r="1282" spans="2:7" x14ac:dyDescent="0.2">
      <c r="B1282" s="216" t="s">
        <v>530</v>
      </c>
      <c r="C1282" s="233" t="s">
        <v>114</v>
      </c>
      <c r="D1282" s="191">
        <v>8.2000000000000003E-2</v>
      </c>
      <c r="E1282" s="226"/>
      <c r="F1282" s="193">
        <v>12100</v>
      </c>
      <c r="G1282" s="217">
        <v>987.75</v>
      </c>
    </row>
    <row r="1283" spans="2:7" x14ac:dyDescent="0.2">
      <c r="B1283" s="195" t="s">
        <v>454</v>
      </c>
      <c r="C1283" s="169" t="s">
        <v>2</v>
      </c>
      <c r="D1283" s="191">
        <v>1.7000000000000001E-2</v>
      </c>
      <c r="E1283" s="170"/>
      <c r="F1283" s="193">
        <v>121500</v>
      </c>
      <c r="G1283" s="199">
        <v>2025</v>
      </c>
    </row>
    <row r="1284" spans="2:7" x14ac:dyDescent="0.2">
      <c r="B1284" s="239" t="s">
        <v>458</v>
      </c>
      <c r="C1284" s="287" t="s">
        <v>456</v>
      </c>
      <c r="D1284" s="178">
        <v>29734.400000000001</v>
      </c>
      <c r="E1284" s="226"/>
      <c r="F1284" s="288" t="s">
        <v>461</v>
      </c>
      <c r="G1284" s="289" t="s">
        <v>457</v>
      </c>
    </row>
    <row r="1285" spans="2:7" x14ac:dyDescent="0.2">
      <c r="B1285" s="259" t="s">
        <v>455</v>
      </c>
      <c r="C1285" s="240" t="s">
        <v>456</v>
      </c>
      <c r="D1285" s="247">
        <v>29734.400000000001</v>
      </c>
      <c r="E1285" s="242"/>
      <c r="F1285" s="243"/>
      <c r="G1285" s="290" t="s">
        <v>457</v>
      </c>
    </row>
    <row r="1286" spans="2:7" x14ac:dyDescent="0.2">
      <c r="B1286" s="180"/>
      <c r="C1286" s="185"/>
      <c r="D1286" s="205"/>
      <c r="E1286" s="186"/>
      <c r="F1286" s="222"/>
      <c r="G1286" s="230"/>
    </row>
    <row r="1287" spans="2:7" x14ac:dyDescent="0.2">
      <c r="B1287" s="157"/>
      <c r="C1287" s="158"/>
      <c r="D1287" s="156"/>
      <c r="E1287" s="156"/>
      <c r="F1287" s="159" t="s">
        <v>459</v>
      </c>
      <c r="G1287" s="183">
        <v>3862.75</v>
      </c>
    </row>
    <row r="1288" spans="2:7" x14ac:dyDescent="0.2">
      <c r="B1288" s="157"/>
      <c r="C1288" s="158"/>
      <c r="D1288" s="156"/>
      <c r="E1288" s="156"/>
      <c r="F1288" s="159"/>
      <c r="G1288" s="160"/>
    </row>
    <row r="1289" spans="2:7" ht="17" thickBot="1" x14ac:dyDescent="0.25">
      <c r="B1289" s="206"/>
      <c r="C1289" s="207"/>
      <c r="D1289" s="208"/>
      <c r="E1289" s="209" t="s">
        <v>460</v>
      </c>
      <c r="F1289" s="210">
        <v>58009.279999999999</v>
      </c>
      <c r="G1289" s="211">
        <v>29734</v>
      </c>
    </row>
    <row r="1290" spans="2:7" ht="17" thickTop="1" x14ac:dyDescent="0.2">
      <c r="B1290" s="212"/>
      <c r="C1290" s="213"/>
      <c r="D1290" s="212"/>
      <c r="E1290" s="212"/>
      <c r="F1290" s="212"/>
      <c r="G1290" s="212"/>
    </row>
    <row r="1291" spans="2:7" ht="17" thickBot="1" x14ac:dyDescent="0.25">
      <c r="B1291" s="212"/>
      <c r="C1291" s="213"/>
      <c r="D1291" s="212"/>
      <c r="E1291" s="212"/>
      <c r="F1291" s="212"/>
      <c r="G1291" s="212"/>
    </row>
    <row r="1292" spans="2:7" ht="17" thickTop="1" x14ac:dyDescent="0.2">
      <c r="B1292" s="537" t="s">
        <v>71</v>
      </c>
      <c r="C1292" s="538"/>
      <c r="D1292" s="538"/>
      <c r="E1292" s="538"/>
      <c r="F1292" s="148"/>
      <c r="G1292" s="149" t="s">
        <v>439</v>
      </c>
    </row>
    <row r="1293" spans="2:7" x14ac:dyDescent="0.2">
      <c r="B1293" s="539"/>
      <c r="C1293" s="540"/>
      <c r="D1293" s="540"/>
      <c r="E1293" s="540"/>
      <c r="F1293" s="150"/>
      <c r="G1293" s="151" t="s">
        <v>536</v>
      </c>
    </row>
    <row r="1294" spans="2:7" x14ac:dyDescent="0.2">
      <c r="B1294" s="152" t="s">
        <v>1</v>
      </c>
      <c r="C1294" s="153" t="s">
        <v>2</v>
      </c>
      <c r="D1294" s="153" t="s">
        <v>3</v>
      </c>
      <c r="E1294" s="153" t="s">
        <v>441</v>
      </c>
      <c r="F1294" s="154" t="s">
        <v>442</v>
      </c>
      <c r="G1294" s="155" t="s">
        <v>443</v>
      </c>
    </row>
    <row r="1295" spans="2:7" x14ac:dyDescent="0.2">
      <c r="B1295" s="157"/>
      <c r="C1295" s="158"/>
      <c r="D1295" s="156"/>
      <c r="E1295" s="156"/>
      <c r="F1295" s="159"/>
      <c r="G1295" s="160"/>
    </row>
    <row r="1296" spans="2:7" x14ac:dyDescent="0.2">
      <c r="B1296" s="161" t="s">
        <v>444</v>
      </c>
      <c r="C1296" s="158"/>
      <c r="D1296" s="156"/>
      <c r="E1296" s="156"/>
      <c r="F1296" s="159"/>
      <c r="G1296" s="160"/>
    </row>
    <row r="1297" spans="2:7" x14ac:dyDescent="0.2">
      <c r="B1297" s="218" t="s">
        <v>522</v>
      </c>
      <c r="C1297" s="233" t="s">
        <v>2</v>
      </c>
      <c r="D1297" s="250">
        <v>0.02</v>
      </c>
      <c r="E1297" s="226"/>
      <c r="F1297" s="251">
        <v>35343</v>
      </c>
      <c r="G1297" s="172">
        <v>779.4</v>
      </c>
    </row>
    <row r="1298" spans="2:7" x14ac:dyDescent="0.2">
      <c r="B1298" s="152" t="s">
        <v>533</v>
      </c>
      <c r="C1298" s="233" t="s">
        <v>2</v>
      </c>
      <c r="D1298" s="250">
        <v>2</v>
      </c>
      <c r="E1298" s="226"/>
      <c r="F1298" s="251">
        <v>317</v>
      </c>
      <c r="G1298" s="204">
        <v>634</v>
      </c>
    </row>
    <row r="1299" spans="2:7" x14ac:dyDescent="0.2">
      <c r="B1299" s="180"/>
      <c r="C1299" s="185"/>
      <c r="D1299" s="181"/>
      <c r="E1299" s="186"/>
      <c r="F1299" s="222"/>
      <c r="G1299" s="230"/>
    </row>
    <row r="1300" spans="2:7" x14ac:dyDescent="0.2">
      <c r="B1300" s="157"/>
      <c r="C1300" s="158"/>
      <c r="D1300" s="156"/>
      <c r="E1300" s="156"/>
      <c r="F1300" s="159" t="s">
        <v>446</v>
      </c>
      <c r="G1300" s="183">
        <v>1413.4</v>
      </c>
    </row>
    <row r="1301" spans="2:7" x14ac:dyDescent="0.2">
      <c r="B1301" s="161" t="s">
        <v>447</v>
      </c>
      <c r="C1301" s="158"/>
      <c r="D1301" s="156"/>
      <c r="E1301" s="156"/>
      <c r="F1301" s="159"/>
      <c r="G1301" s="160"/>
    </row>
    <row r="1302" spans="2:7" x14ac:dyDescent="0.2">
      <c r="B1302" s="189" t="s">
        <v>523</v>
      </c>
      <c r="C1302" s="253">
        <v>401056</v>
      </c>
      <c r="D1302" s="254">
        <v>1.47</v>
      </c>
      <c r="E1302" s="255">
        <v>589552</v>
      </c>
      <c r="F1302" s="255">
        <v>60.3</v>
      </c>
      <c r="G1302" s="256">
        <v>9776.98</v>
      </c>
    </row>
    <row r="1303" spans="2:7" x14ac:dyDescent="0.2">
      <c r="B1303" s="200" t="s">
        <v>524</v>
      </c>
      <c r="C1303" s="276">
        <v>107473.5</v>
      </c>
      <c r="D1303" s="266">
        <v>1.47</v>
      </c>
      <c r="E1303" s="255">
        <v>157986</v>
      </c>
      <c r="F1303" s="268">
        <v>60.3</v>
      </c>
      <c r="G1303" s="256">
        <v>2620</v>
      </c>
    </row>
    <row r="1304" spans="2:7" x14ac:dyDescent="0.2">
      <c r="B1304" s="200" t="s">
        <v>525</v>
      </c>
      <c r="C1304" s="257">
        <v>272539.5</v>
      </c>
      <c r="D1304" s="261">
        <v>1.47</v>
      </c>
      <c r="E1304" s="262">
        <v>400633</v>
      </c>
      <c r="F1304" s="278">
        <v>182.73</v>
      </c>
      <c r="G1304" s="279">
        <v>2192.52</v>
      </c>
    </row>
    <row r="1305" spans="2:7" x14ac:dyDescent="0.2">
      <c r="B1305" s="180"/>
      <c r="C1305" s="185"/>
      <c r="D1305" s="181"/>
      <c r="E1305" s="186"/>
      <c r="F1305" s="222"/>
      <c r="G1305" s="230"/>
    </row>
    <row r="1306" spans="2:7" x14ac:dyDescent="0.2">
      <c r="B1306" s="157"/>
      <c r="C1306" s="158"/>
      <c r="D1306" s="156"/>
      <c r="E1306" s="156"/>
      <c r="F1306" s="159" t="s">
        <v>449</v>
      </c>
      <c r="G1306" s="183">
        <v>14589.5</v>
      </c>
    </row>
    <row r="1307" spans="2:7" x14ac:dyDescent="0.2">
      <c r="B1307" s="161" t="s">
        <v>450</v>
      </c>
      <c r="C1307" s="158"/>
      <c r="D1307" s="156"/>
      <c r="E1307" s="156"/>
      <c r="F1307" s="159"/>
      <c r="G1307" s="160"/>
    </row>
    <row r="1308" spans="2:7" x14ac:dyDescent="0.2">
      <c r="B1308" s="269" t="s">
        <v>527</v>
      </c>
      <c r="C1308" s="265" t="s">
        <v>114</v>
      </c>
      <c r="D1308" s="271">
        <v>4.9799999999999997E-2</v>
      </c>
      <c r="E1308" s="267"/>
      <c r="F1308" s="272">
        <v>1600</v>
      </c>
      <c r="G1308" s="273">
        <v>79.599999999999994</v>
      </c>
    </row>
    <row r="1309" spans="2:7" x14ac:dyDescent="0.2">
      <c r="B1309" s="200" t="s">
        <v>528</v>
      </c>
      <c r="C1309" s="265" t="s">
        <v>114</v>
      </c>
      <c r="D1309" s="271">
        <v>3.32E-2</v>
      </c>
      <c r="E1309" s="267"/>
      <c r="F1309" s="282">
        <v>1600</v>
      </c>
      <c r="G1309" s="204">
        <v>53.06</v>
      </c>
    </row>
    <row r="1310" spans="2:7" x14ac:dyDescent="0.2">
      <c r="B1310" s="180"/>
      <c r="C1310" s="185"/>
      <c r="D1310" s="205"/>
      <c r="E1310" s="186"/>
      <c r="F1310" s="222"/>
      <c r="G1310" s="230"/>
    </row>
    <row r="1311" spans="2:7" x14ac:dyDescent="0.2">
      <c r="B1311" s="157"/>
      <c r="C1311" s="158"/>
      <c r="D1311" s="156"/>
      <c r="E1311" s="156"/>
      <c r="F1311" s="159" t="s">
        <v>452</v>
      </c>
      <c r="G1311" s="183">
        <v>132.66</v>
      </c>
    </row>
    <row r="1312" spans="2:7" x14ac:dyDescent="0.2">
      <c r="B1312" s="161" t="s">
        <v>453</v>
      </c>
      <c r="C1312" s="158"/>
      <c r="D1312" s="156"/>
      <c r="E1312" s="156"/>
      <c r="F1312" s="159"/>
      <c r="G1312" s="160"/>
    </row>
    <row r="1313" spans="2:7" x14ac:dyDescent="0.2">
      <c r="B1313" s="189" t="s">
        <v>454</v>
      </c>
      <c r="C1313" s="190" t="s">
        <v>2</v>
      </c>
      <c r="D1313" s="232">
        <v>1.6666667E-2</v>
      </c>
      <c r="E1313" s="232"/>
      <c r="F1313" s="193">
        <v>121500</v>
      </c>
      <c r="G1313" s="194">
        <v>2025</v>
      </c>
    </row>
    <row r="1314" spans="2:7" x14ac:dyDescent="0.2">
      <c r="B1314" s="195" t="s">
        <v>530</v>
      </c>
      <c r="C1314" s="233" t="s">
        <v>114</v>
      </c>
      <c r="D1314" s="226">
        <v>5.4794520999999999E-2</v>
      </c>
      <c r="E1314" s="226"/>
      <c r="F1314" s="193">
        <v>12100</v>
      </c>
      <c r="G1314" s="199">
        <v>663.01</v>
      </c>
    </row>
    <row r="1315" spans="2:7" x14ac:dyDescent="0.2">
      <c r="B1315" s="200" t="s">
        <v>529</v>
      </c>
      <c r="C1315" s="169" t="s">
        <v>2</v>
      </c>
      <c r="D1315" s="170">
        <v>3.333333E-3</v>
      </c>
      <c r="E1315" s="170"/>
      <c r="F1315" s="193">
        <v>255000</v>
      </c>
      <c r="G1315" s="204">
        <v>850</v>
      </c>
    </row>
    <row r="1316" spans="2:7" x14ac:dyDescent="0.2">
      <c r="B1316" s="291" t="s">
        <v>458</v>
      </c>
      <c r="C1316" s="292" t="s">
        <v>456</v>
      </c>
      <c r="D1316" s="293">
        <v>19673.57</v>
      </c>
      <c r="E1316" s="294"/>
      <c r="F1316" s="243"/>
      <c r="G1316" s="194" t="s">
        <v>457</v>
      </c>
    </row>
    <row r="1317" spans="2:7" x14ac:dyDescent="0.2">
      <c r="B1317" s="259" t="s">
        <v>455</v>
      </c>
      <c r="C1317" s="295" t="s">
        <v>456</v>
      </c>
      <c r="D1317" s="296">
        <v>19673.57</v>
      </c>
      <c r="E1317" s="197"/>
      <c r="F1317" s="198"/>
      <c r="G1317" s="273" t="s">
        <v>457</v>
      </c>
    </row>
    <row r="1318" spans="2:7" x14ac:dyDescent="0.2">
      <c r="B1318" s="180"/>
      <c r="C1318" s="169"/>
      <c r="D1318" s="205"/>
      <c r="E1318" s="170"/>
      <c r="F1318" s="171"/>
      <c r="G1318" s="230"/>
    </row>
    <row r="1319" spans="2:7" x14ac:dyDescent="0.2">
      <c r="B1319" s="157"/>
      <c r="C1319" s="158"/>
      <c r="D1319" s="156"/>
      <c r="E1319" s="156"/>
      <c r="F1319" s="159" t="s">
        <v>459</v>
      </c>
      <c r="G1319" s="183">
        <v>3538.01</v>
      </c>
    </row>
    <row r="1320" spans="2:7" x14ac:dyDescent="0.2">
      <c r="B1320" s="157"/>
      <c r="C1320" s="158"/>
      <c r="D1320" s="156"/>
      <c r="E1320" s="156"/>
      <c r="F1320" s="159"/>
      <c r="G1320" s="160"/>
    </row>
    <row r="1321" spans="2:7" ht="17" thickBot="1" x14ac:dyDescent="0.25">
      <c r="B1321" s="206"/>
      <c r="C1321" s="207"/>
      <c r="D1321" s="208"/>
      <c r="E1321" s="209" t="s">
        <v>460</v>
      </c>
      <c r="F1321" s="210">
        <v>41208.29</v>
      </c>
      <c r="G1321" s="211">
        <v>19674</v>
      </c>
    </row>
    <row r="1322" spans="2:7" ht="17" thickTop="1" x14ac:dyDescent="0.2">
      <c r="B1322" s="212"/>
      <c r="C1322" s="213"/>
      <c r="D1322" s="212"/>
      <c r="E1322" s="212"/>
      <c r="F1322" s="212"/>
      <c r="G1322" s="212"/>
    </row>
    <row r="1323" spans="2:7" ht="17" thickBot="1" x14ac:dyDescent="0.25">
      <c r="B1323" s="212"/>
      <c r="C1323" s="213"/>
      <c r="D1323" s="212"/>
      <c r="E1323" s="212"/>
      <c r="F1323" s="212"/>
      <c r="G1323" s="212"/>
    </row>
    <row r="1324" spans="2:7" ht="17" thickTop="1" x14ac:dyDescent="0.2">
      <c r="B1324" s="537" t="s">
        <v>72</v>
      </c>
      <c r="C1324" s="538"/>
      <c r="D1324" s="538"/>
      <c r="E1324" s="538"/>
      <c r="F1324" s="148"/>
      <c r="G1324" s="149" t="s">
        <v>439</v>
      </c>
    </row>
    <row r="1325" spans="2:7" x14ac:dyDescent="0.2">
      <c r="B1325" s="539"/>
      <c r="C1325" s="540"/>
      <c r="D1325" s="540"/>
      <c r="E1325" s="540"/>
      <c r="F1325" s="150"/>
      <c r="G1325" s="151" t="s">
        <v>537</v>
      </c>
    </row>
    <row r="1326" spans="2:7" x14ac:dyDescent="0.2">
      <c r="B1326" s="152" t="s">
        <v>1</v>
      </c>
      <c r="C1326" s="153" t="s">
        <v>2</v>
      </c>
      <c r="D1326" s="153" t="s">
        <v>3</v>
      </c>
      <c r="E1326" s="153" t="s">
        <v>441</v>
      </c>
      <c r="F1326" s="154" t="s">
        <v>442</v>
      </c>
      <c r="G1326" s="155" t="s">
        <v>443</v>
      </c>
    </row>
    <row r="1327" spans="2:7" x14ac:dyDescent="0.2">
      <c r="B1327" s="157"/>
      <c r="C1327" s="158"/>
      <c r="D1327" s="156"/>
      <c r="E1327" s="156"/>
      <c r="F1327" s="159"/>
      <c r="G1327" s="160"/>
    </row>
    <row r="1328" spans="2:7" x14ac:dyDescent="0.2">
      <c r="B1328" s="161" t="s">
        <v>444</v>
      </c>
      <c r="C1328" s="158"/>
      <c r="D1328" s="156"/>
      <c r="E1328" s="156"/>
      <c r="F1328" s="159"/>
      <c r="G1328" s="160"/>
    </row>
    <row r="1329" spans="2:7" x14ac:dyDescent="0.2">
      <c r="B1329" s="184" t="s">
        <v>533</v>
      </c>
      <c r="C1329" s="225" t="s">
        <v>2</v>
      </c>
      <c r="D1329" s="248">
        <v>2</v>
      </c>
      <c r="E1329" s="192"/>
      <c r="F1329" s="249">
        <v>317</v>
      </c>
      <c r="G1329" s="188">
        <v>634</v>
      </c>
    </row>
    <row r="1330" spans="2:7" x14ac:dyDescent="0.2">
      <c r="B1330" s="152" t="s">
        <v>522</v>
      </c>
      <c r="C1330" s="225" t="s">
        <v>2</v>
      </c>
      <c r="D1330" s="248">
        <v>0.01</v>
      </c>
      <c r="E1330" s="192"/>
      <c r="F1330" s="249">
        <v>35343</v>
      </c>
      <c r="G1330" s="199">
        <v>182.6</v>
      </c>
    </row>
    <row r="1331" spans="2:7" x14ac:dyDescent="0.2">
      <c r="B1331" s="180"/>
      <c r="C1331" s="185"/>
      <c r="D1331" s="181"/>
      <c r="E1331" s="186"/>
      <c r="F1331" s="222"/>
      <c r="G1331" s="230"/>
    </row>
    <row r="1332" spans="2:7" x14ac:dyDescent="0.2">
      <c r="B1332" s="157"/>
      <c r="C1332" s="158"/>
      <c r="D1332" s="156"/>
      <c r="E1332" s="156"/>
      <c r="F1332" s="159" t="s">
        <v>446</v>
      </c>
      <c r="G1332" s="183">
        <v>816.6</v>
      </c>
    </row>
    <row r="1333" spans="2:7" x14ac:dyDescent="0.2">
      <c r="B1333" s="161" t="s">
        <v>447</v>
      </c>
      <c r="C1333" s="158"/>
      <c r="D1333" s="156"/>
      <c r="E1333" s="156"/>
      <c r="F1333" s="159"/>
      <c r="G1333" s="160"/>
    </row>
    <row r="1334" spans="2:7" x14ac:dyDescent="0.2">
      <c r="B1334" s="189" t="s">
        <v>523</v>
      </c>
      <c r="C1334" s="253">
        <v>401056</v>
      </c>
      <c r="D1334" s="254">
        <v>1.47</v>
      </c>
      <c r="E1334" s="255">
        <v>589552</v>
      </c>
      <c r="F1334" s="255">
        <v>86.7</v>
      </c>
      <c r="G1334" s="256">
        <v>6799.91</v>
      </c>
    </row>
    <row r="1335" spans="2:7" x14ac:dyDescent="0.2">
      <c r="B1335" s="200" t="s">
        <v>524</v>
      </c>
      <c r="C1335" s="276">
        <v>107473.5</v>
      </c>
      <c r="D1335" s="266">
        <v>1.47</v>
      </c>
      <c r="E1335" s="297">
        <v>157986</v>
      </c>
      <c r="F1335" s="278">
        <v>86.7</v>
      </c>
      <c r="G1335" s="256">
        <v>1822.21</v>
      </c>
    </row>
    <row r="1336" spans="2:7" x14ac:dyDescent="0.2">
      <c r="B1336" s="200" t="s">
        <v>525</v>
      </c>
      <c r="C1336" s="257">
        <v>272539.5</v>
      </c>
      <c r="D1336" s="261">
        <v>1.47</v>
      </c>
      <c r="E1336" s="262">
        <v>400633</v>
      </c>
      <c r="F1336" s="278">
        <v>262.73</v>
      </c>
      <c r="G1336" s="279">
        <v>1524.9</v>
      </c>
    </row>
    <row r="1337" spans="2:7" x14ac:dyDescent="0.2">
      <c r="B1337" s="180"/>
      <c r="C1337" s="185"/>
      <c r="D1337" s="181"/>
      <c r="E1337" s="186"/>
      <c r="F1337" s="222"/>
      <c r="G1337" s="230"/>
    </row>
    <row r="1338" spans="2:7" x14ac:dyDescent="0.2">
      <c r="B1338" s="157"/>
      <c r="C1338" s="158"/>
      <c r="D1338" s="156"/>
      <c r="E1338" s="156"/>
      <c r="F1338" s="159" t="s">
        <v>449</v>
      </c>
      <c r="G1338" s="183">
        <v>10147.02</v>
      </c>
    </row>
    <row r="1339" spans="2:7" x14ac:dyDescent="0.2">
      <c r="B1339" s="161" t="s">
        <v>450</v>
      </c>
      <c r="C1339" s="158"/>
      <c r="D1339" s="156"/>
      <c r="E1339" s="156"/>
      <c r="F1339" s="159"/>
      <c r="G1339" s="160"/>
    </row>
    <row r="1340" spans="2:7" x14ac:dyDescent="0.2">
      <c r="B1340" s="269" t="s">
        <v>527</v>
      </c>
      <c r="C1340" s="265" t="s">
        <v>114</v>
      </c>
      <c r="D1340" s="271">
        <v>3.4599999999999999E-2</v>
      </c>
      <c r="E1340" s="267"/>
      <c r="F1340" s="272">
        <v>1600</v>
      </c>
      <c r="G1340" s="273">
        <v>55.36</v>
      </c>
    </row>
    <row r="1341" spans="2:7" x14ac:dyDescent="0.2">
      <c r="B1341" s="200" t="s">
        <v>528</v>
      </c>
      <c r="C1341" s="265" t="s">
        <v>114</v>
      </c>
      <c r="D1341" s="271">
        <v>2.3099999999999999E-2</v>
      </c>
      <c r="E1341" s="267"/>
      <c r="F1341" s="282">
        <v>1600</v>
      </c>
      <c r="G1341" s="204">
        <v>36.9</v>
      </c>
    </row>
    <row r="1342" spans="2:7" x14ac:dyDescent="0.2">
      <c r="B1342" s="180"/>
      <c r="C1342" s="185"/>
      <c r="D1342" s="205"/>
      <c r="E1342" s="186"/>
      <c r="F1342" s="222"/>
      <c r="G1342" s="230"/>
    </row>
    <row r="1343" spans="2:7" x14ac:dyDescent="0.2">
      <c r="B1343" s="157"/>
      <c r="C1343" s="158"/>
      <c r="D1343" s="156"/>
      <c r="E1343" s="156"/>
      <c r="F1343" s="159" t="s">
        <v>452</v>
      </c>
      <c r="G1343" s="183">
        <v>92.26</v>
      </c>
    </row>
    <row r="1344" spans="2:7" x14ac:dyDescent="0.2">
      <c r="B1344" s="161" t="s">
        <v>453</v>
      </c>
      <c r="C1344" s="158"/>
      <c r="D1344" s="156"/>
      <c r="E1344" s="156"/>
      <c r="F1344" s="159"/>
      <c r="G1344" s="160"/>
    </row>
    <row r="1345" spans="2:7" x14ac:dyDescent="0.2">
      <c r="B1345" s="189" t="s">
        <v>454</v>
      </c>
      <c r="C1345" s="190" t="s">
        <v>2</v>
      </c>
      <c r="D1345" s="191">
        <v>1.7000000000000001E-2</v>
      </c>
      <c r="E1345" s="192"/>
      <c r="F1345" s="193">
        <v>121500</v>
      </c>
      <c r="G1345" s="194">
        <v>2025</v>
      </c>
    </row>
    <row r="1346" spans="2:7" x14ac:dyDescent="0.2">
      <c r="B1346" s="195" t="s">
        <v>530</v>
      </c>
      <c r="C1346" s="233" t="s">
        <v>114</v>
      </c>
      <c r="D1346" s="191">
        <v>3.7999999999999999E-2</v>
      </c>
      <c r="E1346" s="192"/>
      <c r="F1346" s="193">
        <v>12100</v>
      </c>
      <c r="G1346" s="199">
        <v>460.95</v>
      </c>
    </row>
    <row r="1347" spans="2:7" x14ac:dyDescent="0.2">
      <c r="B1347" s="200" t="s">
        <v>529</v>
      </c>
      <c r="C1347" s="169" t="s">
        <v>2</v>
      </c>
      <c r="D1347" s="191">
        <v>3.0000000000000001E-3</v>
      </c>
      <c r="E1347" s="192"/>
      <c r="F1347" s="193">
        <v>255000</v>
      </c>
      <c r="G1347" s="204">
        <v>850</v>
      </c>
    </row>
    <row r="1348" spans="2:7" x14ac:dyDescent="0.2">
      <c r="B1348" s="291" t="s">
        <v>458</v>
      </c>
      <c r="C1348" s="292" t="s">
        <v>456</v>
      </c>
      <c r="D1348" s="247">
        <v>14391.83</v>
      </c>
      <c r="E1348" s="242"/>
      <c r="F1348" s="243"/>
      <c r="G1348" s="194" t="s">
        <v>457</v>
      </c>
    </row>
    <row r="1349" spans="2:7" x14ac:dyDescent="0.2">
      <c r="B1349" s="259" t="s">
        <v>455</v>
      </c>
      <c r="C1349" s="295" t="s">
        <v>456</v>
      </c>
      <c r="D1349" s="178">
        <v>14391.83</v>
      </c>
      <c r="E1349" s="197"/>
      <c r="F1349" s="198"/>
      <c r="G1349" s="273" t="s">
        <v>457</v>
      </c>
    </row>
    <row r="1350" spans="2:7" x14ac:dyDescent="0.2">
      <c r="B1350" s="180"/>
      <c r="C1350" s="169"/>
      <c r="D1350" s="205"/>
      <c r="E1350" s="170"/>
      <c r="F1350" s="171"/>
      <c r="G1350" s="230"/>
    </row>
    <row r="1351" spans="2:7" x14ac:dyDescent="0.2">
      <c r="B1351" s="157"/>
      <c r="C1351" s="158"/>
      <c r="D1351" s="156"/>
      <c r="E1351" s="156"/>
      <c r="F1351" s="159" t="s">
        <v>459</v>
      </c>
      <c r="G1351" s="183">
        <v>3335.95</v>
      </c>
    </row>
    <row r="1352" spans="2:7" x14ac:dyDescent="0.2">
      <c r="B1352" s="157"/>
      <c r="C1352" s="158"/>
      <c r="D1352" s="156"/>
      <c r="E1352" s="156"/>
      <c r="F1352" s="159"/>
      <c r="G1352" s="160"/>
    </row>
    <row r="1353" spans="2:7" ht="17" thickBot="1" x14ac:dyDescent="0.25">
      <c r="B1353" s="206"/>
      <c r="C1353" s="207"/>
      <c r="D1353" s="208"/>
      <c r="E1353" s="209" t="s">
        <v>460</v>
      </c>
      <c r="F1353" s="210">
        <v>28640.48</v>
      </c>
      <c r="G1353" s="211">
        <v>14392</v>
      </c>
    </row>
    <row r="1354" spans="2:7" ht="17" thickTop="1" x14ac:dyDescent="0.2">
      <c r="B1354" s="212"/>
      <c r="C1354" s="213"/>
      <c r="D1354" s="212"/>
      <c r="E1354" s="212"/>
      <c r="F1354" s="212"/>
      <c r="G1354" s="212"/>
    </row>
    <row r="1355" spans="2:7" ht="17" thickBot="1" x14ac:dyDescent="0.25">
      <c r="B1355" s="212"/>
      <c r="C1355" s="213"/>
      <c r="D1355" s="212"/>
      <c r="E1355" s="212"/>
      <c r="F1355" s="212"/>
      <c r="G1355" s="212"/>
    </row>
    <row r="1356" spans="2:7" ht="17" thickTop="1" x14ac:dyDescent="0.2">
      <c r="B1356" s="537" t="s">
        <v>73</v>
      </c>
      <c r="C1356" s="538"/>
      <c r="D1356" s="538"/>
      <c r="E1356" s="538"/>
      <c r="F1356" s="148"/>
      <c r="G1356" s="149" t="s">
        <v>439</v>
      </c>
    </row>
    <row r="1357" spans="2:7" x14ac:dyDescent="0.2">
      <c r="B1357" s="539"/>
      <c r="C1357" s="540"/>
      <c r="D1357" s="540"/>
      <c r="E1357" s="540"/>
      <c r="F1357" s="150"/>
      <c r="G1357" s="151" t="s">
        <v>538</v>
      </c>
    </row>
    <row r="1358" spans="2:7" x14ac:dyDescent="0.2">
      <c r="B1358" s="152" t="s">
        <v>1</v>
      </c>
      <c r="C1358" s="153" t="s">
        <v>2</v>
      </c>
      <c r="D1358" s="153" t="s">
        <v>3</v>
      </c>
      <c r="E1358" s="153" t="s">
        <v>441</v>
      </c>
      <c r="F1358" s="154" t="s">
        <v>442</v>
      </c>
      <c r="G1358" s="155" t="s">
        <v>443</v>
      </c>
    </row>
    <row r="1359" spans="2:7" x14ac:dyDescent="0.2">
      <c r="B1359" s="157"/>
      <c r="C1359" s="158"/>
      <c r="D1359" s="156"/>
      <c r="E1359" s="156"/>
      <c r="F1359" s="159"/>
      <c r="G1359" s="160"/>
    </row>
    <row r="1360" spans="2:7" x14ac:dyDescent="0.2">
      <c r="B1360" s="161" t="s">
        <v>444</v>
      </c>
      <c r="C1360" s="158"/>
      <c r="D1360" s="156"/>
      <c r="E1360" s="156"/>
      <c r="F1360" s="159"/>
      <c r="G1360" s="160"/>
    </row>
    <row r="1361" spans="2:7" x14ac:dyDescent="0.2">
      <c r="B1361" s="184" t="s">
        <v>533</v>
      </c>
      <c r="C1361" s="225" t="s">
        <v>2</v>
      </c>
      <c r="D1361" s="248">
        <v>3</v>
      </c>
      <c r="E1361" s="192"/>
      <c r="F1361" s="249">
        <v>317</v>
      </c>
      <c r="G1361" s="188">
        <v>951</v>
      </c>
    </row>
    <row r="1362" spans="2:7" x14ac:dyDescent="0.2">
      <c r="B1362" s="152" t="s">
        <v>522</v>
      </c>
      <c r="C1362" s="225" t="s">
        <v>2</v>
      </c>
      <c r="D1362" s="248">
        <v>0.02</v>
      </c>
      <c r="E1362" s="192"/>
      <c r="F1362" s="249">
        <v>35343</v>
      </c>
      <c r="G1362" s="199">
        <v>797.07</v>
      </c>
    </row>
    <row r="1363" spans="2:7" x14ac:dyDescent="0.2">
      <c r="B1363" s="259"/>
      <c r="C1363" s="185"/>
      <c r="D1363" s="181"/>
      <c r="E1363" s="186"/>
      <c r="F1363" s="222"/>
      <c r="G1363" s="204"/>
    </row>
    <row r="1364" spans="2:7" x14ac:dyDescent="0.2">
      <c r="B1364" s="157"/>
      <c r="C1364" s="158"/>
      <c r="D1364" s="156"/>
      <c r="E1364" s="156"/>
      <c r="F1364" s="159" t="s">
        <v>446</v>
      </c>
      <c r="G1364" s="183">
        <v>1748.07</v>
      </c>
    </row>
    <row r="1365" spans="2:7" x14ac:dyDescent="0.2">
      <c r="B1365" s="161" t="s">
        <v>447</v>
      </c>
      <c r="C1365" s="158"/>
      <c r="D1365" s="156"/>
      <c r="E1365" s="156"/>
      <c r="F1365" s="159"/>
      <c r="G1365" s="160"/>
    </row>
    <row r="1366" spans="2:7" x14ac:dyDescent="0.2">
      <c r="B1366" s="189" t="s">
        <v>523</v>
      </c>
      <c r="C1366" s="253">
        <v>401056</v>
      </c>
      <c r="D1366" s="254">
        <v>1.47</v>
      </c>
      <c r="E1366" s="255">
        <v>589552</v>
      </c>
      <c r="F1366" s="255">
        <v>57.8</v>
      </c>
      <c r="G1366" s="256">
        <v>10199.86</v>
      </c>
    </row>
    <row r="1367" spans="2:7" x14ac:dyDescent="0.2">
      <c r="B1367" s="200" t="s">
        <v>524</v>
      </c>
      <c r="C1367" s="276">
        <v>107473.5</v>
      </c>
      <c r="D1367" s="266">
        <v>1.47</v>
      </c>
      <c r="E1367" s="297">
        <v>157986</v>
      </c>
      <c r="F1367" s="278">
        <v>57.8</v>
      </c>
      <c r="G1367" s="256">
        <v>2733.32</v>
      </c>
    </row>
    <row r="1368" spans="2:7" x14ac:dyDescent="0.2">
      <c r="B1368" s="200" t="s">
        <v>525</v>
      </c>
      <c r="C1368" s="257">
        <v>272539.5</v>
      </c>
      <c r="D1368" s="261">
        <v>1.47</v>
      </c>
      <c r="E1368" s="262">
        <v>400633</v>
      </c>
      <c r="F1368" s="278">
        <v>175.15</v>
      </c>
      <c r="G1368" s="279">
        <v>2287.35</v>
      </c>
    </row>
    <row r="1369" spans="2:7" x14ac:dyDescent="0.2">
      <c r="B1369" s="180"/>
      <c r="C1369" s="185"/>
      <c r="D1369" s="181"/>
      <c r="E1369" s="186"/>
      <c r="F1369" s="222"/>
      <c r="G1369" s="230"/>
    </row>
    <row r="1370" spans="2:7" x14ac:dyDescent="0.2">
      <c r="B1370" s="157"/>
      <c r="C1370" s="158"/>
      <c r="D1370" s="156"/>
      <c r="E1370" s="156"/>
      <c r="F1370" s="159" t="s">
        <v>449</v>
      </c>
      <c r="G1370" s="183">
        <v>15220.53</v>
      </c>
    </row>
    <row r="1371" spans="2:7" x14ac:dyDescent="0.2">
      <c r="B1371" s="161" t="s">
        <v>450</v>
      </c>
      <c r="C1371" s="158"/>
      <c r="D1371" s="156"/>
      <c r="E1371" s="156"/>
      <c r="F1371" s="159"/>
      <c r="G1371" s="160"/>
    </row>
    <row r="1372" spans="2:7" x14ac:dyDescent="0.2">
      <c r="B1372" s="269" t="s">
        <v>527</v>
      </c>
      <c r="C1372" s="265" t="s">
        <v>114</v>
      </c>
      <c r="D1372" s="271">
        <v>5.1900000000000002E-2</v>
      </c>
      <c r="E1372" s="267"/>
      <c r="F1372" s="272">
        <v>1600</v>
      </c>
      <c r="G1372" s="273">
        <v>83.04</v>
      </c>
    </row>
    <row r="1373" spans="2:7" x14ac:dyDescent="0.2">
      <c r="B1373" s="200" t="s">
        <v>528</v>
      </c>
      <c r="C1373" s="265" t="s">
        <v>114</v>
      </c>
      <c r="D1373" s="271">
        <v>3.4599999999999999E-2</v>
      </c>
      <c r="E1373" s="267"/>
      <c r="F1373" s="282">
        <v>1600</v>
      </c>
      <c r="G1373" s="204">
        <v>55.36</v>
      </c>
    </row>
    <row r="1374" spans="2:7" x14ac:dyDescent="0.2">
      <c r="B1374" s="180"/>
      <c r="C1374" s="185"/>
      <c r="D1374" s="205"/>
      <c r="E1374" s="186"/>
      <c r="F1374" s="222"/>
      <c r="G1374" s="230"/>
    </row>
    <row r="1375" spans="2:7" x14ac:dyDescent="0.2">
      <c r="B1375" s="157"/>
      <c r="C1375" s="158"/>
      <c r="D1375" s="156"/>
      <c r="E1375" s="156"/>
      <c r="F1375" s="159" t="s">
        <v>452</v>
      </c>
      <c r="G1375" s="183">
        <v>138.4</v>
      </c>
    </row>
    <row r="1376" spans="2:7" x14ac:dyDescent="0.2">
      <c r="B1376" s="161" t="s">
        <v>453</v>
      </c>
      <c r="C1376" s="158"/>
      <c r="D1376" s="156"/>
      <c r="E1376" s="156"/>
      <c r="F1376" s="159"/>
      <c r="G1376" s="160"/>
    </row>
    <row r="1377" spans="2:7" x14ac:dyDescent="0.2">
      <c r="B1377" s="189" t="s">
        <v>454</v>
      </c>
      <c r="C1377" s="190" t="s">
        <v>2</v>
      </c>
      <c r="D1377" s="191">
        <v>2.5000000000000001E-2</v>
      </c>
      <c r="E1377" s="192"/>
      <c r="F1377" s="193">
        <v>121500</v>
      </c>
      <c r="G1377" s="194">
        <v>3037.5</v>
      </c>
    </row>
    <row r="1378" spans="2:7" x14ac:dyDescent="0.2">
      <c r="B1378" s="195" t="s">
        <v>530</v>
      </c>
      <c r="C1378" s="233" t="s">
        <v>114</v>
      </c>
      <c r="D1378" s="191">
        <v>5.7000000000000002E-2</v>
      </c>
      <c r="E1378" s="192"/>
      <c r="F1378" s="193">
        <v>12100</v>
      </c>
      <c r="G1378" s="199">
        <v>691.42</v>
      </c>
    </row>
    <row r="1379" spans="2:7" x14ac:dyDescent="0.2">
      <c r="B1379" s="200" t="s">
        <v>529</v>
      </c>
      <c r="C1379" s="169" t="s">
        <v>2</v>
      </c>
      <c r="D1379" s="191">
        <v>5.0000000000000001E-3</v>
      </c>
      <c r="E1379" s="192"/>
      <c r="F1379" s="193">
        <v>255000</v>
      </c>
      <c r="G1379" s="204">
        <v>1275</v>
      </c>
    </row>
    <row r="1380" spans="2:7" x14ac:dyDescent="0.2">
      <c r="B1380" s="291" t="s">
        <v>458</v>
      </c>
      <c r="C1380" s="292" t="s">
        <v>456</v>
      </c>
      <c r="D1380" s="247">
        <v>22110.92</v>
      </c>
      <c r="E1380" s="242"/>
      <c r="F1380" s="243"/>
      <c r="G1380" s="194" t="s">
        <v>457</v>
      </c>
    </row>
    <row r="1381" spans="2:7" x14ac:dyDescent="0.2">
      <c r="B1381" s="259" t="s">
        <v>455</v>
      </c>
      <c r="C1381" s="295" t="s">
        <v>456</v>
      </c>
      <c r="D1381" s="178">
        <v>22110.92</v>
      </c>
      <c r="E1381" s="197"/>
      <c r="F1381" s="198"/>
      <c r="G1381" s="273" t="s">
        <v>457</v>
      </c>
    </row>
    <row r="1382" spans="2:7" x14ac:dyDescent="0.2">
      <c r="B1382" s="180"/>
      <c r="C1382" s="169"/>
      <c r="D1382" s="205"/>
      <c r="E1382" s="170"/>
      <c r="F1382" s="171"/>
      <c r="G1382" s="230"/>
    </row>
    <row r="1383" spans="2:7" x14ac:dyDescent="0.2">
      <c r="B1383" s="157"/>
      <c r="C1383" s="158"/>
      <c r="D1383" s="156"/>
      <c r="E1383" s="156"/>
      <c r="F1383" s="159" t="s">
        <v>459</v>
      </c>
      <c r="G1383" s="183">
        <v>5003.92</v>
      </c>
    </row>
    <row r="1384" spans="2:7" x14ac:dyDescent="0.2">
      <c r="B1384" s="157"/>
      <c r="C1384" s="158"/>
      <c r="D1384" s="156"/>
      <c r="E1384" s="156"/>
      <c r="F1384" s="159"/>
      <c r="G1384" s="160"/>
    </row>
    <row r="1385" spans="2:7" ht="17" thickBot="1" x14ac:dyDescent="0.25">
      <c r="B1385" s="206"/>
      <c r="C1385" s="207"/>
      <c r="D1385" s="208"/>
      <c r="E1385" s="209" t="s">
        <v>460</v>
      </c>
      <c r="F1385" s="210">
        <v>32534.14</v>
      </c>
      <c r="G1385" s="211">
        <v>22111</v>
      </c>
    </row>
    <row r="1386" spans="2:7" ht="17" thickTop="1" x14ac:dyDescent="0.2">
      <c r="B1386" s="212"/>
      <c r="C1386" s="213"/>
      <c r="D1386" s="212"/>
      <c r="E1386" s="212"/>
      <c r="F1386" s="212"/>
      <c r="G1386" s="212"/>
    </row>
    <row r="1387" spans="2:7" ht="17" thickBot="1" x14ac:dyDescent="0.25">
      <c r="B1387" s="212"/>
      <c r="C1387" s="213"/>
      <c r="D1387" s="212"/>
      <c r="E1387" s="212"/>
      <c r="F1387" s="212"/>
      <c r="G1387" s="212"/>
    </row>
    <row r="1388" spans="2:7" ht="17" thickTop="1" x14ac:dyDescent="0.2">
      <c r="B1388" s="537" t="s">
        <v>74</v>
      </c>
      <c r="C1388" s="538"/>
      <c r="D1388" s="538"/>
      <c r="E1388" s="538"/>
      <c r="F1388" s="148"/>
      <c r="G1388" s="149" t="s">
        <v>439</v>
      </c>
    </row>
    <row r="1389" spans="2:7" x14ac:dyDescent="0.2">
      <c r="B1389" s="539"/>
      <c r="C1389" s="540"/>
      <c r="D1389" s="540"/>
      <c r="E1389" s="540"/>
      <c r="F1389" s="150"/>
      <c r="G1389" s="151" t="s">
        <v>539</v>
      </c>
    </row>
    <row r="1390" spans="2:7" x14ac:dyDescent="0.2">
      <c r="B1390" s="152" t="s">
        <v>1</v>
      </c>
      <c r="C1390" s="153" t="s">
        <v>2</v>
      </c>
      <c r="D1390" s="153" t="s">
        <v>3</v>
      </c>
      <c r="E1390" s="153" t="s">
        <v>441</v>
      </c>
      <c r="F1390" s="154" t="s">
        <v>442</v>
      </c>
      <c r="G1390" s="155" t="s">
        <v>443</v>
      </c>
    </row>
    <row r="1391" spans="2:7" x14ac:dyDescent="0.2">
      <c r="B1391" s="157"/>
      <c r="C1391" s="158"/>
      <c r="D1391" s="156"/>
      <c r="E1391" s="156"/>
      <c r="F1391" s="159"/>
      <c r="G1391" s="160"/>
    </row>
    <row r="1392" spans="2:7" x14ac:dyDescent="0.2">
      <c r="B1392" s="161" t="s">
        <v>444</v>
      </c>
      <c r="C1392" s="158"/>
      <c r="D1392" s="156"/>
      <c r="E1392" s="156"/>
      <c r="F1392" s="159"/>
      <c r="G1392" s="160"/>
    </row>
    <row r="1393" spans="2:7" x14ac:dyDescent="0.2">
      <c r="B1393" s="184" t="s">
        <v>533</v>
      </c>
      <c r="C1393" s="225" t="s">
        <v>2</v>
      </c>
      <c r="D1393" s="248">
        <v>4</v>
      </c>
      <c r="E1393" s="192"/>
      <c r="F1393" s="249">
        <v>317</v>
      </c>
      <c r="G1393" s="188">
        <v>1268</v>
      </c>
    </row>
    <row r="1394" spans="2:7" x14ac:dyDescent="0.2">
      <c r="B1394" s="152" t="s">
        <v>522</v>
      </c>
      <c r="C1394" s="225" t="s">
        <v>2</v>
      </c>
      <c r="D1394" s="248">
        <v>0.02</v>
      </c>
      <c r="E1394" s="192"/>
      <c r="F1394" s="249">
        <v>35343</v>
      </c>
      <c r="G1394" s="199">
        <v>814.74</v>
      </c>
    </row>
    <row r="1395" spans="2:7" x14ac:dyDescent="0.2">
      <c r="B1395" s="180"/>
      <c r="C1395" s="185"/>
      <c r="D1395" s="181"/>
      <c r="E1395" s="186"/>
      <c r="F1395" s="222"/>
      <c r="G1395" s="230"/>
    </row>
    <row r="1396" spans="2:7" x14ac:dyDescent="0.2">
      <c r="B1396" s="157"/>
      <c r="C1396" s="158"/>
      <c r="D1396" s="156"/>
      <c r="E1396" s="156"/>
      <c r="F1396" s="159" t="s">
        <v>446</v>
      </c>
      <c r="G1396" s="183">
        <v>2082.7399999999998</v>
      </c>
    </row>
    <row r="1397" spans="2:7" x14ac:dyDescent="0.2">
      <c r="B1397" s="161" t="s">
        <v>447</v>
      </c>
      <c r="C1397" s="158"/>
      <c r="D1397" s="156"/>
      <c r="E1397" s="156"/>
      <c r="F1397" s="159"/>
      <c r="G1397" s="160"/>
    </row>
    <row r="1398" spans="2:7" x14ac:dyDescent="0.2">
      <c r="B1398" s="189" t="s">
        <v>523</v>
      </c>
      <c r="C1398" s="253">
        <v>401056</v>
      </c>
      <c r="D1398" s="254">
        <v>1.47</v>
      </c>
      <c r="E1398" s="255">
        <v>589552</v>
      </c>
      <c r="F1398" s="255">
        <v>43.36</v>
      </c>
      <c r="G1398" s="256">
        <v>13596.68</v>
      </c>
    </row>
    <row r="1399" spans="2:7" x14ac:dyDescent="0.2">
      <c r="B1399" s="200" t="s">
        <v>524</v>
      </c>
      <c r="C1399" s="298">
        <v>107473.5</v>
      </c>
      <c r="D1399" s="299">
        <v>1.47</v>
      </c>
      <c r="E1399" s="300">
        <v>157986</v>
      </c>
      <c r="F1399" s="263">
        <v>43.36</v>
      </c>
      <c r="G1399" s="301">
        <v>3643.59</v>
      </c>
    </row>
    <row r="1400" spans="2:7" x14ac:dyDescent="0.2">
      <c r="B1400" s="200" t="s">
        <v>525</v>
      </c>
      <c r="C1400" s="257">
        <v>272539.5</v>
      </c>
      <c r="D1400" s="261">
        <v>1.47</v>
      </c>
      <c r="E1400" s="262">
        <v>400633</v>
      </c>
      <c r="F1400" s="278">
        <v>131.38999999999999</v>
      </c>
      <c r="G1400" s="279">
        <v>3049.1</v>
      </c>
    </row>
    <row r="1401" spans="2:7" x14ac:dyDescent="0.2">
      <c r="B1401" s="180"/>
      <c r="C1401" s="185"/>
      <c r="D1401" s="181"/>
      <c r="E1401" s="186"/>
      <c r="F1401" s="222"/>
      <c r="G1401" s="230"/>
    </row>
    <row r="1402" spans="2:7" x14ac:dyDescent="0.2">
      <c r="B1402" s="157"/>
      <c r="C1402" s="158"/>
      <c r="D1402" s="156"/>
      <c r="E1402" s="156"/>
      <c r="F1402" s="159" t="s">
        <v>449</v>
      </c>
      <c r="G1402" s="183">
        <v>20289.36</v>
      </c>
    </row>
    <row r="1403" spans="2:7" x14ac:dyDescent="0.2">
      <c r="B1403" s="161" t="s">
        <v>450</v>
      </c>
      <c r="C1403" s="158"/>
      <c r="D1403" s="156"/>
      <c r="E1403" s="156"/>
      <c r="F1403" s="159"/>
      <c r="G1403" s="160"/>
    </row>
    <row r="1404" spans="2:7" x14ac:dyDescent="0.2">
      <c r="B1404" s="269" t="s">
        <v>527</v>
      </c>
      <c r="C1404" s="265" t="s">
        <v>114</v>
      </c>
      <c r="D1404" s="271">
        <v>6.9199999999999998E-2</v>
      </c>
      <c r="E1404" s="267"/>
      <c r="F1404" s="283">
        <v>1600</v>
      </c>
      <c r="G1404" s="273">
        <v>110.7</v>
      </c>
    </row>
    <row r="1405" spans="2:7" x14ac:dyDescent="0.2">
      <c r="B1405" s="200" t="s">
        <v>528</v>
      </c>
      <c r="C1405" s="265" t="s">
        <v>114</v>
      </c>
      <c r="D1405" s="271">
        <v>4.6100000000000002E-2</v>
      </c>
      <c r="E1405" s="267"/>
      <c r="F1405" s="283">
        <v>1600</v>
      </c>
      <c r="G1405" s="204">
        <v>73.8</v>
      </c>
    </row>
    <row r="1406" spans="2:7" x14ac:dyDescent="0.2">
      <c r="B1406" s="180"/>
      <c r="C1406" s="185"/>
      <c r="D1406" s="205"/>
      <c r="E1406" s="186"/>
      <c r="F1406" s="222"/>
      <c r="G1406" s="230"/>
    </row>
    <row r="1407" spans="2:7" x14ac:dyDescent="0.2">
      <c r="B1407" s="157"/>
      <c r="C1407" s="158"/>
      <c r="D1407" s="156"/>
      <c r="E1407" s="156"/>
      <c r="F1407" s="159" t="s">
        <v>452</v>
      </c>
      <c r="G1407" s="183">
        <v>184.5</v>
      </c>
    </row>
    <row r="1408" spans="2:7" x14ac:dyDescent="0.2">
      <c r="B1408" s="161" t="s">
        <v>453</v>
      </c>
      <c r="C1408" s="158"/>
      <c r="D1408" s="156"/>
      <c r="E1408" s="156"/>
      <c r="F1408" s="159"/>
      <c r="G1408" s="160"/>
    </row>
    <row r="1409" spans="2:7" x14ac:dyDescent="0.2">
      <c r="B1409" s="189" t="s">
        <v>454</v>
      </c>
      <c r="C1409" s="190" t="s">
        <v>2</v>
      </c>
      <c r="D1409" s="191">
        <v>3.3000000000000002E-2</v>
      </c>
      <c r="E1409" s="192"/>
      <c r="F1409" s="193">
        <v>121500</v>
      </c>
      <c r="G1409" s="194">
        <v>4050</v>
      </c>
    </row>
    <row r="1410" spans="2:7" x14ac:dyDescent="0.2">
      <c r="B1410" s="195" t="s">
        <v>530</v>
      </c>
      <c r="C1410" s="233" t="s">
        <v>114</v>
      </c>
      <c r="D1410" s="191">
        <v>7.5999999999999998E-2</v>
      </c>
      <c r="E1410" s="192"/>
      <c r="F1410" s="193">
        <v>12100</v>
      </c>
      <c r="G1410" s="199">
        <v>921.9</v>
      </c>
    </row>
    <row r="1411" spans="2:7" x14ac:dyDescent="0.2">
      <c r="B1411" s="200" t="s">
        <v>529</v>
      </c>
      <c r="C1411" s="169" t="s">
        <v>2</v>
      </c>
      <c r="D1411" s="191">
        <v>7.0000000000000001E-3</v>
      </c>
      <c r="E1411" s="192"/>
      <c r="F1411" s="193">
        <v>255000</v>
      </c>
      <c r="G1411" s="204">
        <v>1700</v>
      </c>
    </row>
    <row r="1412" spans="2:7" x14ac:dyDescent="0.2">
      <c r="B1412" s="291" t="s">
        <v>458</v>
      </c>
      <c r="C1412" s="292" t="s">
        <v>456</v>
      </c>
      <c r="D1412" s="247">
        <v>29228.5</v>
      </c>
      <c r="E1412" s="242"/>
      <c r="F1412" s="243"/>
      <c r="G1412" s="194" t="s">
        <v>457</v>
      </c>
    </row>
    <row r="1413" spans="2:7" x14ac:dyDescent="0.2">
      <c r="B1413" s="259" t="s">
        <v>455</v>
      </c>
      <c r="C1413" s="295" t="s">
        <v>456</v>
      </c>
      <c r="D1413" s="178">
        <v>29228.5</v>
      </c>
      <c r="E1413" s="197"/>
      <c r="F1413" s="198"/>
      <c r="G1413" s="273" t="s">
        <v>457</v>
      </c>
    </row>
    <row r="1414" spans="2:7" x14ac:dyDescent="0.2">
      <c r="B1414" s="180"/>
      <c r="C1414" s="169"/>
      <c r="D1414" s="205"/>
      <c r="E1414" s="170"/>
      <c r="F1414" s="171"/>
      <c r="G1414" s="230"/>
    </row>
    <row r="1415" spans="2:7" x14ac:dyDescent="0.2">
      <c r="B1415" s="157"/>
      <c r="C1415" s="158"/>
      <c r="D1415" s="156"/>
      <c r="E1415" s="156"/>
      <c r="F1415" s="159" t="s">
        <v>459</v>
      </c>
      <c r="G1415" s="183">
        <v>6671.9</v>
      </c>
    </row>
    <row r="1416" spans="2:7" x14ac:dyDescent="0.2">
      <c r="B1416" s="157"/>
      <c r="C1416" s="158"/>
      <c r="D1416" s="156"/>
      <c r="E1416" s="156"/>
      <c r="F1416" s="159"/>
      <c r="G1416" s="160"/>
    </row>
    <row r="1417" spans="2:7" ht="17" thickBot="1" x14ac:dyDescent="0.25">
      <c r="B1417" s="206"/>
      <c r="C1417" s="207"/>
      <c r="D1417" s="208"/>
      <c r="E1417" s="209" t="s">
        <v>460</v>
      </c>
      <c r="F1417" s="210">
        <v>45242.43</v>
      </c>
      <c r="G1417" s="211">
        <v>29229</v>
      </c>
    </row>
    <row r="1418" spans="2:7" ht="17" thickTop="1" x14ac:dyDescent="0.2">
      <c r="B1418" s="212"/>
      <c r="C1418" s="213"/>
      <c r="D1418" s="212"/>
      <c r="E1418" s="212"/>
      <c r="F1418" s="212"/>
      <c r="G1418" s="212"/>
    </row>
    <row r="1419" spans="2:7" x14ac:dyDescent="0.2">
      <c r="B1419" s="212"/>
      <c r="C1419" s="213"/>
      <c r="D1419" s="212"/>
      <c r="E1419" s="212"/>
      <c r="F1419" s="212"/>
      <c r="G1419" s="212"/>
    </row>
    <row r="1420" spans="2:7" ht="17" thickBot="1" x14ac:dyDescent="0.25">
      <c r="B1420" s="212"/>
      <c r="C1420" s="213"/>
      <c r="D1420" s="212"/>
      <c r="E1420" s="212"/>
      <c r="F1420" s="212"/>
      <c r="G1420" s="212"/>
    </row>
    <row r="1421" spans="2:7" ht="17" thickTop="1" x14ac:dyDescent="0.2">
      <c r="B1421" s="537" t="s">
        <v>75</v>
      </c>
      <c r="C1421" s="538"/>
      <c r="D1421" s="538"/>
      <c r="E1421" s="538"/>
      <c r="F1421" s="148"/>
      <c r="G1421" s="149" t="s">
        <v>439</v>
      </c>
    </row>
    <row r="1422" spans="2:7" x14ac:dyDescent="0.2">
      <c r="B1422" s="539"/>
      <c r="C1422" s="540"/>
      <c r="D1422" s="540"/>
      <c r="E1422" s="540"/>
      <c r="F1422" s="150"/>
      <c r="G1422" s="151" t="s">
        <v>540</v>
      </c>
    </row>
    <row r="1423" spans="2:7" x14ac:dyDescent="0.2">
      <c r="B1423" s="152" t="s">
        <v>1</v>
      </c>
      <c r="C1423" s="153" t="s">
        <v>2</v>
      </c>
      <c r="D1423" s="153" t="s">
        <v>3</v>
      </c>
      <c r="E1423" s="153" t="s">
        <v>441</v>
      </c>
      <c r="F1423" s="154" t="s">
        <v>442</v>
      </c>
      <c r="G1423" s="155" t="s">
        <v>443</v>
      </c>
    </row>
    <row r="1424" spans="2:7" x14ac:dyDescent="0.2">
      <c r="B1424" s="157"/>
      <c r="C1424" s="158"/>
      <c r="D1424" s="156"/>
      <c r="E1424" s="156"/>
      <c r="F1424" s="159"/>
      <c r="G1424" s="160"/>
    </row>
    <row r="1425" spans="2:7" x14ac:dyDescent="0.2">
      <c r="B1425" s="161" t="s">
        <v>444</v>
      </c>
      <c r="C1425" s="158"/>
      <c r="D1425" s="156"/>
      <c r="E1425" s="156"/>
      <c r="F1425" s="159"/>
      <c r="G1425" s="160"/>
    </row>
    <row r="1426" spans="2:7" ht="52" x14ac:dyDescent="0.2">
      <c r="B1426" s="302" t="s">
        <v>541</v>
      </c>
      <c r="C1426" s="190" t="s">
        <v>2</v>
      </c>
      <c r="D1426" s="164">
        <v>0.7</v>
      </c>
      <c r="E1426" s="303" t="s">
        <v>542</v>
      </c>
      <c r="F1426" s="166">
        <v>8655.42</v>
      </c>
      <c r="G1426" s="304">
        <v>6058.79</v>
      </c>
    </row>
    <row r="1427" spans="2:7" ht="26" x14ac:dyDescent="0.2">
      <c r="B1427" s="305" t="s">
        <v>543</v>
      </c>
      <c r="C1427" s="295" t="s">
        <v>2</v>
      </c>
      <c r="D1427" s="164">
        <v>6</v>
      </c>
      <c r="E1427" s="306">
        <v>5</v>
      </c>
      <c r="F1427" s="166">
        <v>535.5</v>
      </c>
      <c r="G1427" s="279">
        <v>3373.65</v>
      </c>
    </row>
    <row r="1428" spans="2:7" x14ac:dyDescent="0.2">
      <c r="B1428" s="195" t="s">
        <v>522</v>
      </c>
      <c r="C1428" s="169" t="s">
        <v>2</v>
      </c>
      <c r="D1428" s="164">
        <v>0.05</v>
      </c>
      <c r="E1428" s="307">
        <v>5</v>
      </c>
      <c r="F1428" s="166">
        <v>35343</v>
      </c>
      <c r="G1428" s="182">
        <v>1755.65</v>
      </c>
    </row>
    <row r="1429" spans="2:7" ht="39" x14ac:dyDescent="0.2">
      <c r="B1429" s="305" t="s">
        <v>544</v>
      </c>
      <c r="C1429" s="201" t="s">
        <v>2</v>
      </c>
      <c r="D1429" s="164">
        <v>0.09</v>
      </c>
      <c r="E1429" s="308"/>
      <c r="F1429" s="166">
        <v>22610</v>
      </c>
      <c r="G1429" s="182">
        <v>1978.37</v>
      </c>
    </row>
    <row r="1430" spans="2:7" x14ac:dyDescent="0.2">
      <c r="B1430" s="309" t="s">
        <v>545</v>
      </c>
      <c r="C1430" s="233" t="s">
        <v>2</v>
      </c>
      <c r="D1430" s="164">
        <v>0.16</v>
      </c>
      <c r="E1430" s="310" t="s">
        <v>542</v>
      </c>
      <c r="F1430" s="249">
        <v>21876.22</v>
      </c>
      <c r="G1430" s="311">
        <v>3402.96</v>
      </c>
    </row>
    <row r="1431" spans="2:7" ht="52" x14ac:dyDescent="0.2">
      <c r="B1431" s="305" t="s">
        <v>546</v>
      </c>
      <c r="C1431" s="295" t="s">
        <v>2</v>
      </c>
      <c r="D1431" s="164">
        <v>2.1</v>
      </c>
      <c r="E1431" s="306">
        <v>5</v>
      </c>
      <c r="F1431" s="312">
        <v>45.22</v>
      </c>
      <c r="G1431" s="279">
        <v>99.71</v>
      </c>
    </row>
    <row r="1432" spans="2:7" ht="78" x14ac:dyDescent="0.2">
      <c r="B1432" s="309" t="s">
        <v>547</v>
      </c>
      <c r="C1432" s="233" t="s">
        <v>8</v>
      </c>
      <c r="D1432" s="164">
        <v>0.7</v>
      </c>
      <c r="E1432" s="310" t="s">
        <v>542</v>
      </c>
      <c r="F1432" s="313">
        <v>1228.02</v>
      </c>
      <c r="G1432" s="311">
        <v>859.61</v>
      </c>
    </row>
    <row r="1433" spans="2:7" x14ac:dyDescent="0.2">
      <c r="B1433" s="236"/>
      <c r="C1433" s="185"/>
      <c r="D1433" s="181"/>
      <c r="E1433" s="314"/>
      <c r="F1433" s="222"/>
      <c r="G1433" s="315"/>
    </row>
    <row r="1434" spans="2:7" x14ac:dyDescent="0.2">
      <c r="B1434" s="157"/>
      <c r="C1434" s="158"/>
      <c r="D1434" s="156"/>
      <c r="E1434" s="156"/>
      <c r="F1434" s="159" t="s">
        <v>446</v>
      </c>
      <c r="G1434" s="183">
        <v>17528.740000000002</v>
      </c>
    </row>
    <row r="1435" spans="2:7" x14ac:dyDescent="0.2">
      <c r="B1435" s="161" t="s">
        <v>447</v>
      </c>
      <c r="C1435" s="158"/>
      <c r="D1435" s="156"/>
      <c r="E1435" s="156"/>
      <c r="F1435" s="159"/>
      <c r="G1435" s="160"/>
    </row>
    <row r="1436" spans="2:7" x14ac:dyDescent="0.2">
      <c r="B1436" s="280" t="s">
        <v>523</v>
      </c>
      <c r="C1436" s="253">
        <v>401056</v>
      </c>
      <c r="D1436" s="316">
        <v>1.47</v>
      </c>
      <c r="E1436" s="317">
        <v>589552</v>
      </c>
      <c r="F1436" s="317">
        <v>35.82</v>
      </c>
      <c r="G1436" s="318">
        <v>16459.39</v>
      </c>
    </row>
    <row r="1437" spans="2:7" x14ac:dyDescent="0.2">
      <c r="B1437" s="269" t="s">
        <v>524</v>
      </c>
      <c r="C1437" s="319">
        <v>107473.5</v>
      </c>
      <c r="D1437" s="320">
        <v>1.47</v>
      </c>
      <c r="E1437" s="321">
        <v>157986</v>
      </c>
      <c r="F1437" s="263">
        <v>35.82</v>
      </c>
      <c r="G1437" s="311">
        <v>4410.7299999999996</v>
      </c>
    </row>
    <row r="1438" spans="2:7" x14ac:dyDescent="0.2">
      <c r="B1438" s="195" t="s">
        <v>525</v>
      </c>
      <c r="C1438" s="319">
        <v>272539.5</v>
      </c>
      <c r="D1438" s="320">
        <v>1.47</v>
      </c>
      <c r="E1438" s="321">
        <v>400633</v>
      </c>
      <c r="F1438" s="278">
        <v>71.64</v>
      </c>
      <c r="G1438" s="182">
        <v>5592.53</v>
      </c>
    </row>
    <row r="1439" spans="2:7" x14ac:dyDescent="0.2">
      <c r="B1439" s="157"/>
      <c r="C1439" s="158"/>
      <c r="D1439" s="156"/>
      <c r="E1439" s="156"/>
      <c r="F1439" s="159" t="s">
        <v>449</v>
      </c>
      <c r="G1439" s="183">
        <v>26462.65</v>
      </c>
    </row>
    <row r="1440" spans="2:7" x14ac:dyDescent="0.2">
      <c r="B1440" s="161" t="s">
        <v>450</v>
      </c>
      <c r="C1440" s="158"/>
      <c r="D1440" s="156"/>
      <c r="E1440" s="156"/>
      <c r="F1440" s="159"/>
      <c r="G1440" s="160"/>
    </row>
    <row r="1441" spans="2:7" x14ac:dyDescent="0.2">
      <c r="B1441" s="162" t="s">
        <v>548</v>
      </c>
      <c r="C1441" s="163" t="s">
        <v>114</v>
      </c>
      <c r="D1441" s="322">
        <v>9.1300000000000006E-2</v>
      </c>
      <c r="E1441" s="323"/>
      <c r="F1441" s="312">
        <v>20900</v>
      </c>
      <c r="G1441" s="167">
        <v>1907.75</v>
      </c>
    </row>
    <row r="1442" spans="2:7" x14ac:dyDescent="0.2">
      <c r="B1442" s="152" t="s">
        <v>549</v>
      </c>
      <c r="C1442" s="153" t="s">
        <v>114</v>
      </c>
      <c r="D1442" s="324">
        <v>6.8500000000000005E-2</v>
      </c>
      <c r="E1442" s="325"/>
      <c r="F1442" s="326">
        <v>1900</v>
      </c>
      <c r="G1442" s="286">
        <v>130.07</v>
      </c>
    </row>
    <row r="1443" spans="2:7" x14ac:dyDescent="0.2">
      <c r="B1443" s="200" t="s">
        <v>550</v>
      </c>
      <c r="C1443" s="169" t="s">
        <v>114</v>
      </c>
      <c r="D1443" s="274">
        <v>9.7699999999999995E-2</v>
      </c>
      <c r="E1443" s="170"/>
      <c r="F1443" s="326">
        <v>2100</v>
      </c>
      <c r="G1443" s="182">
        <v>205.2</v>
      </c>
    </row>
    <row r="1444" spans="2:7" x14ac:dyDescent="0.2">
      <c r="B1444" s="200" t="s">
        <v>551</v>
      </c>
      <c r="C1444" s="185" t="s">
        <v>535</v>
      </c>
      <c r="D1444" s="284">
        <v>6.8500000000000005E-2</v>
      </c>
      <c r="E1444" s="186"/>
      <c r="F1444" s="326">
        <v>900</v>
      </c>
      <c r="G1444" s="182">
        <v>61.61</v>
      </c>
    </row>
    <row r="1445" spans="2:7" x14ac:dyDescent="0.2">
      <c r="B1445" s="189" t="s">
        <v>552</v>
      </c>
      <c r="C1445" s="233" t="s">
        <v>535</v>
      </c>
      <c r="D1445" s="327">
        <v>2.2800000000000001E-2</v>
      </c>
      <c r="E1445" s="226"/>
      <c r="F1445" s="326">
        <v>1700</v>
      </c>
      <c r="G1445" s="304">
        <v>38.79</v>
      </c>
    </row>
    <row r="1446" spans="2:7" x14ac:dyDescent="0.2">
      <c r="B1446" s="195" t="s">
        <v>528</v>
      </c>
      <c r="C1446" s="233" t="s">
        <v>535</v>
      </c>
      <c r="D1446" s="327">
        <v>4.5600000000000002E-2</v>
      </c>
      <c r="E1446" s="226"/>
      <c r="F1446" s="326">
        <v>1600</v>
      </c>
      <c r="G1446" s="311">
        <v>73.02</v>
      </c>
    </row>
    <row r="1447" spans="2:7" x14ac:dyDescent="0.2">
      <c r="B1447" s="200" t="s">
        <v>527</v>
      </c>
      <c r="C1447" s="169" t="s">
        <v>114</v>
      </c>
      <c r="D1447" s="274">
        <v>6.8500000000000005E-2</v>
      </c>
      <c r="E1447" s="170"/>
      <c r="F1447" s="272">
        <v>1600</v>
      </c>
      <c r="G1447" s="182">
        <v>109.53</v>
      </c>
    </row>
    <row r="1448" spans="2:7" x14ac:dyDescent="0.2">
      <c r="B1448" s="180"/>
      <c r="C1448" s="169"/>
      <c r="D1448" s="205"/>
      <c r="E1448" s="170"/>
      <c r="F1448" s="171"/>
      <c r="G1448" s="182"/>
    </row>
    <row r="1449" spans="2:7" x14ac:dyDescent="0.2">
      <c r="B1449" s="157"/>
      <c r="C1449" s="158"/>
      <c r="D1449" s="156"/>
      <c r="E1449" s="156"/>
      <c r="F1449" s="159" t="s">
        <v>452</v>
      </c>
      <c r="G1449" s="183">
        <v>2525.9699999999998</v>
      </c>
    </row>
    <row r="1450" spans="2:7" x14ac:dyDescent="0.2">
      <c r="B1450" s="161" t="s">
        <v>453</v>
      </c>
      <c r="C1450" s="158"/>
      <c r="D1450" s="156"/>
      <c r="E1450" s="156"/>
      <c r="F1450" s="159"/>
      <c r="G1450" s="160"/>
    </row>
    <row r="1451" spans="2:7" x14ac:dyDescent="0.2">
      <c r="B1451" s="184" t="s">
        <v>454</v>
      </c>
      <c r="C1451" s="185" t="s">
        <v>114</v>
      </c>
      <c r="D1451" s="271">
        <v>4.7000000000000002E-3</v>
      </c>
      <c r="E1451" s="186"/>
      <c r="F1451" s="193">
        <v>121500</v>
      </c>
      <c r="G1451" s="315">
        <v>567</v>
      </c>
    </row>
    <row r="1452" spans="2:7" x14ac:dyDescent="0.2">
      <c r="B1452" s="291" t="s">
        <v>458</v>
      </c>
      <c r="C1452" s="240" t="s">
        <v>456</v>
      </c>
      <c r="D1452" s="328">
        <v>47084.36</v>
      </c>
      <c r="E1452" s="242"/>
      <c r="F1452" s="329"/>
      <c r="G1452" s="304" t="s">
        <v>465</v>
      </c>
    </row>
    <row r="1453" spans="2:7" x14ac:dyDescent="0.2">
      <c r="B1453" s="200" t="s">
        <v>455</v>
      </c>
      <c r="C1453" s="169" t="s">
        <v>456</v>
      </c>
      <c r="D1453" s="262">
        <v>47084.36</v>
      </c>
      <c r="E1453" s="170"/>
      <c r="F1453" s="330"/>
      <c r="G1453" s="182" t="s">
        <v>465</v>
      </c>
    </row>
    <row r="1454" spans="2:7" x14ac:dyDescent="0.2">
      <c r="B1454" s="180"/>
      <c r="C1454" s="169"/>
      <c r="D1454" s="181"/>
      <c r="E1454" s="170"/>
      <c r="F1454" s="171"/>
      <c r="G1454" s="182"/>
    </row>
    <row r="1455" spans="2:7" x14ac:dyDescent="0.2">
      <c r="B1455" s="157"/>
      <c r="C1455" s="158"/>
      <c r="D1455" s="156"/>
      <c r="E1455" s="156"/>
      <c r="F1455" s="159" t="s">
        <v>459</v>
      </c>
      <c r="G1455" s="183">
        <v>567</v>
      </c>
    </row>
    <row r="1456" spans="2:7" x14ac:dyDescent="0.2">
      <c r="B1456" s="157"/>
      <c r="C1456" s="158"/>
      <c r="D1456" s="156"/>
      <c r="E1456" s="156"/>
      <c r="F1456" s="159"/>
      <c r="G1456" s="160"/>
    </row>
    <row r="1457" spans="2:7" ht="17" thickBot="1" x14ac:dyDescent="0.25">
      <c r="B1457" s="206"/>
      <c r="C1457" s="207"/>
      <c r="D1457" s="208"/>
      <c r="E1457" s="209" t="s">
        <v>460</v>
      </c>
      <c r="F1457" s="210">
        <v>113411.98</v>
      </c>
      <c r="G1457" s="211">
        <v>47084</v>
      </c>
    </row>
    <row r="1458" spans="2:7" ht="17" thickTop="1" x14ac:dyDescent="0.2">
      <c r="B1458" s="212"/>
      <c r="C1458" s="213"/>
      <c r="D1458" s="212"/>
      <c r="E1458" s="212"/>
      <c r="F1458" s="212"/>
      <c r="G1458" s="212"/>
    </row>
    <row r="1459" spans="2:7" ht="17" thickBot="1" x14ac:dyDescent="0.25">
      <c r="B1459" s="212"/>
      <c r="C1459" s="213"/>
      <c r="D1459" s="212"/>
      <c r="E1459" s="212"/>
      <c r="F1459" s="212"/>
      <c r="G1459" s="212"/>
    </row>
    <row r="1460" spans="2:7" ht="17" thickTop="1" x14ac:dyDescent="0.2">
      <c r="B1460" s="537" t="s">
        <v>553</v>
      </c>
      <c r="C1460" s="538"/>
      <c r="D1460" s="538"/>
      <c r="E1460" s="538"/>
      <c r="F1460" s="148"/>
      <c r="G1460" s="149" t="s">
        <v>439</v>
      </c>
    </row>
    <row r="1461" spans="2:7" x14ac:dyDescent="0.2">
      <c r="B1461" s="539"/>
      <c r="C1461" s="540"/>
      <c r="D1461" s="540"/>
      <c r="E1461" s="540"/>
      <c r="F1461" s="150"/>
      <c r="G1461" s="151" t="s">
        <v>554</v>
      </c>
    </row>
    <row r="1462" spans="2:7" x14ac:dyDescent="0.2">
      <c r="B1462" s="152" t="s">
        <v>1</v>
      </c>
      <c r="C1462" s="153" t="s">
        <v>2</v>
      </c>
      <c r="D1462" s="153" t="s">
        <v>3</v>
      </c>
      <c r="E1462" s="153" t="s">
        <v>441</v>
      </c>
      <c r="F1462" s="154" t="s">
        <v>442</v>
      </c>
      <c r="G1462" s="155" t="s">
        <v>443</v>
      </c>
    </row>
    <row r="1463" spans="2:7" x14ac:dyDescent="0.2">
      <c r="B1463" s="157"/>
      <c r="C1463" s="158"/>
      <c r="D1463" s="156"/>
      <c r="E1463" s="156"/>
      <c r="F1463" s="159"/>
      <c r="G1463" s="160"/>
    </row>
    <row r="1464" spans="2:7" x14ac:dyDescent="0.2">
      <c r="B1464" s="161" t="s">
        <v>444</v>
      </c>
      <c r="C1464" s="158"/>
      <c r="D1464" s="156"/>
      <c r="E1464" s="156"/>
      <c r="F1464" s="159"/>
      <c r="G1464" s="160"/>
    </row>
    <row r="1465" spans="2:7" x14ac:dyDescent="0.2">
      <c r="B1465" s="168" t="s">
        <v>520</v>
      </c>
      <c r="C1465" s="225" t="s">
        <v>8</v>
      </c>
      <c r="D1465" s="331">
        <v>0.3</v>
      </c>
      <c r="E1465" s="192"/>
      <c r="F1465" s="249">
        <v>7517</v>
      </c>
      <c r="G1465" s="172">
        <v>2255.1</v>
      </c>
    </row>
    <row r="1466" spans="2:7" x14ac:dyDescent="0.2">
      <c r="B1466" s="195" t="s">
        <v>521</v>
      </c>
      <c r="C1466" s="233" t="s">
        <v>2</v>
      </c>
      <c r="D1466" s="332">
        <v>6</v>
      </c>
      <c r="E1466" s="226"/>
      <c r="F1466" s="251">
        <v>56</v>
      </c>
      <c r="G1466" s="199">
        <v>336</v>
      </c>
    </row>
    <row r="1467" spans="2:7" x14ac:dyDescent="0.2">
      <c r="B1467" s="195" t="s">
        <v>522</v>
      </c>
      <c r="C1467" s="233" t="s">
        <v>2</v>
      </c>
      <c r="D1467" s="250">
        <v>0.02</v>
      </c>
      <c r="E1467" s="226"/>
      <c r="F1467" s="251">
        <v>35343</v>
      </c>
      <c r="G1467" s="199">
        <v>850.09</v>
      </c>
    </row>
    <row r="1468" spans="2:7" x14ac:dyDescent="0.2">
      <c r="B1468" s="180"/>
      <c r="C1468" s="185"/>
      <c r="D1468" s="181"/>
      <c r="E1468" s="186"/>
      <c r="F1468" s="222"/>
      <c r="G1468" s="230"/>
    </row>
    <row r="1469" spans="2:7" x14ac:dyDescent="0.2">
      <c r="B1469" s="157"/>
      <c r="C1469" s="158"/>
      <c r="D1469" s="156"/>
      <c r="E1469" s="156"/>
      <c r="F1469" s="159" t="s">
        <v>446</v>
      </c>
      <c r="G1469" s="252">
        <v>3441.19</v>
      </c>
    </row>
    <row r="1470" spans="2:7" x14ac:dyDescent="0.2">
      <c r="B1470" s="161" t="s">
        <v>447</v>
      </c>
      <c r="C1470" s="158"/>
      <c r="D1470" s="156"/>
      <c r="E1470" s="156"/>
      <c r="F1470" s="159"/>
      <c r="G1470" s="160"/>
    </row>
    <row r="1471" spans="2:7" x14ac:dyDescent="0.2">
      <c r="B1471" s="189" t="s">
        <v>523</v>
      </c>
      <c r="C1471" s="253">
        <v>401056</v>
      </c>
      <c r="D1471" s="254">
        <v>1.47</v>
      </c>
      <c r="E1471" s="255">
        <v>589552</v>
      </c>
      <c r="F1471" s="333">
        <v>19.27</v>
      </c>
      <c r="G1471" s="256">
        <v>30599.58</v>
      </c>
    </row>
    <row r="1472" spans="2:7" x14ac:dyDescent="0.2">
      <c r="B1472" s="200" t="s">
        <v>524</v>
      </c>
      <c r="C1472" s="298">
        <v>107473.5</v>
      </c>
      <c r="D1472" s="299">
        <v>1.47</v>
      </c>
      <c r="E1472" s="334">
        <v>157986</v>
      </c>
      <c r="F1472" s="335">
        <v>19.27</v>
      </c>
      <c r="G1472" s="301">
        <v>8199.9699999999993</v>
      </c>
    </row>
    <row r="1473" spans="2:7" x14ac:dyDescent="0.2">
      <c r="B1473" s="200" t="s">
        <v>525</v>
      </c>
      <c r="C1473" s="319">
        <v>272539.5</v>
      </c>
      <c r="D1473" s="320">
        <v>1.47</v>
      </c>
      <c r="E1473" s="321">
        <v>400633</v>
      </c>
      <c r="F1473" s="263">
        <v>58.38</v>
      </c>
      <c r="G1473" s="182">
        <v>6862.05</v>
      </c>
    </row>
    <row r="1474" spans="2:7" x14ac:dyDescent="0.2">
      <c r="B1474" s="180"/>
      <c r="C1474" s="185"/>
      <c r="D1474" s="205"/>
      <c r="E1474" s="170"/>
      <c r="F1474" s="222"/>
      <c r="G1474" s="230"/>
    </row>
    <row r="1475" spans="2:7" x14ac:dyDescent="0.2">
      <c r="B1475" s="157"/>
      <c r="C1475" s="158"/>
      <c r="D1475" s="156"/>
      <c r="E1475" s="156"/>
      <c r="F1475" s="159" t="s">
        <v>449</v>
      </c>
      <c r="G1475" s="183">
        <v>45661.599999999999</v>
      </c>
    </row>
    <row r="1476" spans="2:7" x14ac:dyDescent="0.2">
      <c r="B1476" s="161" t="s">
        <v>450</v>
      </c>
      <c r="C1476" s="158"/>
      <c r="D1476" s="156"/>
      <c r="E1476" s="156"/>
      <c r="F1476" s="159"/>
      <c r="G1476" s="160"/>
    </row>
    <row r="1477" spans="2:7" x14ac:dyDescent="0.2">
      <c r="B1477" s="264" t="s">
        <v>526</v>
      </c>
      <c r="C1477" s="265" t="s">
        <v>456</v>
      </c>
      <c r="D1477" s="336">
        <v>0.08</v>
      </c>
      <c r="E1477" s="267"/>
      <c r="F1477" s="268">
        <v>45661.599999999999</v>
      </c>
      <c r="G1477" s="256">
        <v>3424.62</v>
      </c>
    </row>
    <row r="1478" spans="2:7" x14ac:dyDescent="0.2">
      <c r="B1478" s="269" t="s">
        <v>527</v>
      </c>
      <c r="C1478" s="270" t="s">
        <v>114</v>
      </c>
      <c r="D1478" s="337">
        <v>0.2336</v>
      </c>
      <c r="E1478" s="223"/>
      <c r="F1478" s="272">
        <v>1600</v>
      </c>
      <c r="G1478" s="273">
        <v>373.7</v>
      </c>
    </row>
    <row r="1479" spans="2:7" x14ac:dyDescent="0.2">
      <c r="B1479" s="200" t="s">
        <v>528</v>
      </c>
      <c r="C1479" s="270" t="s">
        <v>114</v>
      </c>
      <c r="D1479" s="338">
        <v>0.15570000000000001</v>
      </c>
      <c r="E1479" s="170"/>
      <c r="F1479" s="275">
        <v>1600</v>
      </c>
      <c r="G1479" s="204">
        <v>249.13</v>
      </c>
    </row>
    <row r="1480" spans="2:7" x14ac:dyDescent="0.2">
      <c r="B1480" s="180"/>
      <c r="C1480" s="169"/>
      <c r="D1480" s="181"/>
      <c r="E1480" s="186"/>
      <c r="F1480" s="222"/>
      <c r="G1480" s="230"/>
    </row>
    <row r="1481" spans="2:7" x14ac:dyDescent="0.2">
      <c r="B1481" s="157"/>
      <c r="C1481" s="158"/>
      <c r="D1481" s="156"/>
      <c r="E1481" s="156"/>
      <c r="F1481" s="159" t="s">
        <v>452</v>
      </c>
      <c r="G1481" s="183">
        <v>4047.45</v>
      </c>
    </row>
    <row r="1482" spans="2:7" x14ac:dyDescent="0.2">
      <c r="B1482" s="161" t="s">
        <v>453</v>
      </c>
      <c r="C1482" s="158"/>
      <c r="D1482" s="156"/>
      <c r="E1482" s="156"/>
      <c r="F1482" s="159"/>
      <c r="G1482" s="160"/>
    </row>
    <row r="1483" spans="2:7" x14ac:dyDescent="0.2">
      <c r="B1483" s="189" t="s">
        <v>454</v>
      </c>
      <c r="C1483" s="190" t="s">
        <v>2</v>
      </c>
      <c r="D1483" s="339">
        <v>2.5000000000000001E-2</v>
      </c>
      <c r="E1483" s="232"/>
      <c r="F1483" s="193">
        <v>121500</v>
      </c>
      <c r="G1483" s="194">
        <v>3037.5</v>
      </c>
    </row>
    <row r="1484" spans="2:7" x14ac:dyDescent="0.2">
      <c r="B1484" s="200" t="s">
        <v>529</v>
      </c>
      <c r="C1484" s="169" t="s">
        <v>2</v>
      </c>
      <c r="D1484" s="339">
        <v>5.0000000000000001E-3</v>
      </c>
      <c r="E1484" s="170"/>
      <c r="F1484" s="193">
        <v>255000</v>
      </c>
      <c r="G1484" s="204">
        <v>1275</v>
      </c>
    </row>
    <row r="1485" spans="2:7" x14ac:dyDescent="0.2">
      <c r="B1485" s="195" t="s">
        <v>530</v>
      </c>
      <c r="C1485" s="233" t="s">
        <v>114</v>
      </c>
      <c r="D1485" s="339">
        <v>0.17100000000000001</v>
      </c>
      <c r="E1485" s="226"/>
      <c r="F1485" s="193">
        <v>12100</v>
      </c>
      <c r="G1485" s="199">
        <v>2074.2800000000002</v>
      </c>
    </row>
    <row r="1486" spans="2:7" x14ac:dyDescent="0.2">
      <c r="B1486" s="239" t="s">
        <v>458</v>
      </c>
      <c r="C1486" s="240" t="s">
        <v>456</v>
      </c>
      <c r="D1486" s="247">
        <v>59537.02</v>
      </c>
      <c r="E1486" s="242"/>
      <c r="F1486" s="243"/>
      <c r="G1486" s="199" t="s">
        <v>457</v>
      </c>
    </row>
    <row r="1487" spans="2:7" x14ac:dyDescent="0.2">
      <c r="B1487" s="239" t="s">
        <v>455</v>
      </c>
      <c r="C1487" s="240" t="s">
        <v>456</v>
      </c>
      <c r="D1487" s="247">
        <v>59537.02</v>
      </c>
      <c r="E1487" s="242"/>
      <c r="F1487" s="243"/>
      <c r="G1487" s="199" t="s">
        <v>457</v>
      </c>
    </row>
    <row r="1488" spans="2:7" x14ac:dyDescent="0.2">
      <c r="B1488" s="236"/>
      <c r="C1488" s="185"/>
      <c r="D1488" s="205"/>
      <c r="E1488" s="186"/>
      <c r="F1488" s="222"/>
      <c r="G1488" s="237"/>
    </row>
    <row r="1489" spans="2:7" x14ac:dyDescent="0.2">
      <c r="B1489" s="157"/>
      <c r="C1489" s="158"/>
      <c r="D1489" s="156"/>
      <c r="E1489" s="156"/>
      <c r="F1489" s="159" t="s">
        <v>459</v>
      </c>
      <c r="G1489" s="183">
        <v>6386.78</v>
      </c>
    </row>
    <row r="1490" spans="2:7" x14ac:dyDescent="0.2">
      <c r="B1490" s="157"/>
      <c r="C1490" s="158"/>
      <c r="D1490" s="156"/>
      <c r="E1490" s="156"/>
      <c r="F1490" s="159"/>
      <c r="G1490" s="160"/>
    </row>
    <row r="1491" spans="2:7" ht="17" thickBot="1" x14ac:dyDescent="0.25">
      <c r="B1491" s="206"/>
      <c r="C1491" s="207"/>
      <c r="D1491" s="208"/>
      <c r="E1491" s="209" t="s">
        <v>460</v>
      </c>
      <c r="F1491" s="210">
        <v>872731.15</v>
      </c>
      <c r="G1491" s="211">
        <v>59537</v>
      </c>
    </row>
    <row r="1492" spans="2:7" ht="17" thickTop="1" x14ac:dyDescent="0.2">
      <c r="B1492" s="212"/>
      <c r="C1492" s="213"/>
      <c r="D1492" s="212"/>
      <c r="E1492" s="212"/>
      <c r="F1492" s="212"/>
      <c r="G1492" s="212"/>
    </row>
    <row r="1493" spans="2:7" ht="17" thickBot="1" x14ac:dyDescent="0.25">
      <c r="B1493" s="212"/>
      <c r="C1493" s="213"/>
      <c r="D1493" s="212"/>
      <c r="E1493" s="212"/>
      <c r="F1493" s="212"/>
      <c r="G1493" s="212"/>
    </row>
    <row r="1494" spans="2:7" ht="17" thickTop="1" x14ac:dyDescent="0.2">
      <c r="B1494" s="537" t="s">
        <v>555</v>
      </c>
      <c r="C1494" s="538"/>
      <c r="D1494" s="538"/>
      <c r="E1494" s="538"/>
      <c r="F1494" s="148"/>
      <c r="G1494" s="149" t="s">
        <v>439</v>
      </c>
    </row>
    <row r="1495" spans="2:7" x14ac:dyDescent="0.2">
      <c r="B1495" s="539"/>
      <c r="C1495" s="540"/>
      <c r="D1495" s="540"/>
      <c r="E1495" s="540"/>
      <c r="F1495" s="150"/>
      <c r="G1495" s="151" t="s">
        <v>556</v>
      </c>
    </row>
    <row r="1496" spans="2:7" x14ac:dyDescent="0.2">
      <c r="B1496" s="152" t="s">
        <v>1</v>
      </c>
      <c r="C1496" s="153" t="s">
        <v>2</v>
      </c>
      <c r="D1496" s="153" t="s">
        <v>3</v>
      </c>
      <c r="E1496" s="153" t="s">
        <v>441</v>
      </c>
      <c r="F1496" s="154" t="s">
        <v>442</v>
      </c>
      <c r="G1496" s="155" t="s">
        <v>443</v>
      </c>
    </row>
    <row r="1497" spans="2:7" x14ac:dyDescent="0.2">
      <c r="B1497" s="157"/>
      <c r="C1497" s="158"/>
      <c r="D1497" s="156"/>
      <c r="E1497" s="156"/>
      <c r="F1497" s="159"/>
      <c r="G1497" s="160"/>
    </row>
    <row r="1498" spans="2:7" x14ac:dyDescent="0.2">
      <c r="B1498" s="161" t="s">
        <v>444</v>
      </c>
      <c r="C1498" s="158"/>
      <c r="D1498" s="156"/>
      <c r="E1498" s="156"/>
      <c r="F1498" s="159"/>
      <c r="G1498" s="160"/>
    </row>
    <row r="1499" spans="2:7" x14ac:dyDescent="0.2">
      <c r="B1499" s="184" t="s">
        <v>533</v>
      </c>
      <c r="C1499" s="225" t="s">
        <v>2</v>
      </c>
      <c r="D1499" s="331">
        <v>3</v>
      </c>
      <c r="E1499" s="192"/>
      <c r="F1499" s="249">
        <v>317</v>
      </c>
      <c r="G1499" s="188">
        <v>951</v>
      </c>
    </row>
    <row r="1500" spans="2:7" x14ac:dyDescent="0.2">
      <c r="B1500" s="200" t="s">
        <v>534</v>
      </c>
      <c r="C1500" s="233" t="s">
        <v>2</v>
      </c>
      <c r="D1500" s="332">
        <v>0.01</v>
      </c>
      <c r="E1500" s="226"/>
      <c r="F1500" s="251">
        <v>126140</v>
      </c>
      <c r="G1500" s="204">
        <v>946.05</v>
      </c>
    </row>
    <row r="1501" spans="2:7" x14ac:dyDescent="0.2">
      <c r="B1501" s="195" t="s">
        <v>522</v>
      </c>
      <c r="C1501" s="233" t="s">
        <v>2</v>
      </c>
      <c r="D1501" s="332">
        <v>0.11</v>
      </c>
      <c r="E1501" s="226"/>
      <c r="F1501" s="251">
        <v>35343</v>
      </c>
      <c r="G1501" s="199">
        <v>3846.34</v>
      </c>
    </row>
    <row r="1502" spans="2:7" x14ac:dyDescent="0.2">
      <c r="B1502" s="180"/>
      <c r="C1502" s="185"/>
      <c r="D1502" s="181"/>
      <c r="E1502" s="186"/>
      <c r="F1502" s="222"/>
      <c r="G1502" s="230"/>
    </row>
    <row r="1503" spans="2:7" x14ac:dyDescent="0.2">
      <c r="B1503" s="157"/>
      <c r="C1503" s="158"/>
      <c r="D1503" s="156"/>
      <c r="E1503" s="156"/>
      <c r="F1503" s="159" t="s">
        <v>446</v>
      </c>
      <c r="G1503" s="183">
        <v>5743.39</v>
      </c>
    </row>
    <row r="1504" spans="2:7" x14ac:dyDescent="0.2">
      <c r="B1504" s="161" t="s">
        <v>447</v>
      </c>
      <c r="C1504" s="158"/>
      <c r="D1504" s="156"/>
      <c r="E1504" s="156"/>
      <c r="F1504" s="159"/>
      <c r="G1504" s="160"/>
    </row>
    <row r="1505" spans="2:7" x14ac:dyDescent="0.2">
      <c r="B1505" s="189" t="s">
        <v>523</v>
      </c>
      <c r="C1505" s="253">
        <v>401056</v>
      </c>
      <c r="D1505" s="254">
        <v>1.47</v>
      </c>
      <c r="E1505" s="255">
        <v>589552</v>
      </c>
      <c r="F1505" s="333">
        <v>27</v>
      </c>
      <c r="G1505" s="256">
        <v>21835.26</v>
      </c>
    </row>
    <row r="1506" spans="2:7" x14ac:dyDescent="0.2">
      <c r="B1506" s="200" t="s">
        <v>524</v>
      </c>
      <c r="C1506" s="298">
        <v>107473.5</v>
      </c>
      <c r="D1506" s="299">
        <v>1.47</v>
      </c>
      <c r="E1506" s="334">
        <v>157986</v>
      </c>
      <c r="F1506" s="335">
        <v>27</v>
      </c>
      <c r="G1506" s="301">
        <v>5851.33</v>
      </c>
    </row>
    <row r="1507" spans="2:7" x14ac:dyDescent="0.2">
      <c r="B1507" s="200" t="s">
        <v>525</v>
      </c>
      <c r="C1507" s="319">
        <v>272539.5</v>
      </c>
      <c r="D1507" s="320">
        <v>1.47</v>
      </c>
      <c r="E1507" s="321">
        <v>400633</v>
      </c>
      <c r="F1507" s="263">
        <v>81.819999999999993</v>
      </c>
      <c r="G1507" s="182">
        <v>4896.63</v>
      </c>
    </row>
    <row r="1508" spans="2:7" x14ac:dyDescent="0.2">
      <c r="B1508" s="180"/>
      <c r="C1508" s="185"/>
      <c r="D1508" s="205"/>
      <c r="E1508" s="170"/>
      <c r="F1508" s="222"/>
      <c r="G1508" s="230"/>
    </row>
    <row r="1509" spans="2:7" x14ac:dyDescent="0.2">
      <c r="B1509" s="157"/>
      <c r="C1509" s="158"/>
      <c r="D1509" s="156"/>
      <c r="E1509" s="156"/>
      <c r="F1509" s="159" t="s">
        <v>449</v>
      </c>
      <c r="G1509" s="183">
        <v>32583.22</v>
      </c>
    </row>
    <row r="1510" spans="2:7" x14ac:dyDescent="0.2">
      <c r="B1510" s="161" t="s">
        <v>450</v>
      </c>
      <c r="C1510" s="158"/>
      <c r="D1510" s="156"/>
      <c r="E1510" s="156"/>
      <c r="F1510" s="159"/>
      <c r="G1510" s="160"/>
    </row>
    <row r="1511" spans="2:7" x14ac:dyDescent="0.2">
      <c r="B1511" s="280" t="s">
        <v>527</v>
      </c>
      <c r="C1511" s="265" t="s">
        <v>114</v>
      </c>
      <c r="D1511" s="340">
        <v>0.16669999999999999</v>
      </c>
      <c r="E1511" s="267"/>
      <c r="F1511" s="272">
        <v>1600</v>
      </c>
      <c r="G1511" s="281">
        <v>266.66000000000003</v>
      </c>
    </row>
    <row r="1512" spans="2:7" x14ac:dyDescent="0.2">
      <c r="B1512" s="189" t="s">
        <v>267</v>
      </c>
      <c r="C1512" s="190" t="s">
        <v>114</v>
      </c>
      <c r="D1512" s="340">
        <v>0.16669999999999999</v>
      </c>
      <c r="E1512" s="232"/>
      <c r="F1512" s="341">
        <v>1900</v>
      </c>
      <c r="G1512" s="194">
        <v>316.66000000000003</v>
      </c>
    </row>
    <row r="1513" spans="2:7" x14ac:dyDescent="0.2">
      <c r="B1513" s="200" t="s">
        <v>528</v>
      </c>
      <c r="C1513" s="169" t="s">
        <v>535</v>
      </c>
      <c r="D1513" s="338">
        <v>0.1111</v>
      </c>
      <c r="E1513" s="170"/>
      <c r="F1513" s="275">
        <v>1600</v>
      </c>
      <c r="G1513" s="204">
        <v>177.77</v>
      </c>
    </row>
    <row r="1514" spans="2:7" x14ac:dyDescent="0.2">
      <c r="B1514" s="180"/>
      <c r="C1514" s="185"/>
      <c r="D1514" s="284"/>
      <c r="E1514" s="186"/>
      <c r="F1514" s="222"/>
      <c r="G1514" s="230"/>
    </row>
    <row r="1515" spans="2:7" x14ac:dyDescent="0.2">
      <c r="B1515" s="157"/>
      <c r="C1515" s="285"/>
      <c r="D1515" s="181"/>
      <c r="E1515" s="186"/>
      <c r="F1515" s="222" t="s">
        <v>452</v>
      </c>
      <c r="G1515" s="286">
        <v>761.09</v>
      </c>
    </row>
    <row r="1516" spans="2:7" x14ac:dyDescent="0.2">
      <c r="B1516" s="161" t="s">
        <v>453</v>
      </c>
      <c r="C1516" s="158"/>
      <c r="D1516" s="156"/>
      <c r="E1516" s="156"/>
      <c r="F1516" s="159"/>
      <c r="G1516" s="160"/>
    </row>
    <row r="1517" spans="2:7" x14ac:dyDescent="0.2">
      <c r="B1517" s="162" t="s">
        <v>529</v>
      </c>
      <c r="C1517" s="190" t="s">
        <v>2</v>
      </c>
      <c r="D1517" s="339">
        <v>5.0000000000000001E-3</v>
      </c>
      <c r="E1517" s="232"/>
      <c r="F1517" s="193">
        <v>255000</v>
      </c>
      <c r="G1517" s="167">
        <v>1275</v>
      </c>
    </row>
    <row r="1518" spans="2:7" x14ac:dyDescent="0.2">
      <c r="B1518" s="216" t="s">
        <v>530</v>
      </c>
      <c r="C1518" s="233" t="s">
        <v>114</v>
      </c>
      <c r="D1518" s="339">
        <v>0.122</v>
      </c>
      <c r="E1518" s="226"/>
      <c r="F1518" s="193">
        <v>12100</v>
      </c>
      <c r="G1518" s="217">
        <v>1481.63</v>
      </c>
    </row>
    <row r="1519" spans="2:7" x14ac:dyDescent="0.2">
      <c r="B1519" s="195" t="s">
        <v>454</v>
      </c>
      <c r="C1519" s="169" t="s">
        <v>2</v>
      </c>
      <c r="D1519" s="339">
        <v>2.5000000000000001E-2</v>
      </c>
      <c r="E1519" s="170"/>
      <c r="F1519" s="193">
        <v>121500</v>
      </c>
      <c r="G1519" s="199">
        <v>3037.5</v>
      </c>
    </row>
    <row r="1520" spans="2:7" x14ac:dyDescent="0.2">
      <c r="B1520" s="239" t="s">
        <v>458</v>
      </c>
      <c r="C1520" s="287" t="s">
        <v>456</v>
      </c>
      <c r="D1520" s="178">
        <v>44881.83</v>
      </c>
      <c r="E1520" s="226"/>
      <c r="F1520" s="288" t="s">
        <v>461</v>
      </c>
      <c r="G1520" s="289" t="s">
        <v>457</v>
      </c>
    </row>
    <row r="1521" spans="2:7" x14ac:dyDescent="0.2">
      <c r="B1521" s="259" t="s">
        <v>455</v>
      </c>
      <c r="C1521" s="240" t="s">
        <v>456</v>
      </c>
      <c r="D1521" s="247">
        <v>44881.83</v>
      </c>
      <c r="E1521" s="242"/>
      <c r="F1521" s="243"/>
      <c r="G1521" s="290" t="s">
        <v>457</v>
      </c>
    </row>
    <row r="1522" spans="2:7" x14ac:dyDescent="0.2">
      <c r="B1522" s="180"/>
      <c r="C1522" s="185"/>
      <c r="D1522" s="205"/>
      <c r="E1522" s="186"/>
      <c r="F1522" s="222"/>
      <c r="G1522" s="230"/>
    </row>
    <row r="1523" spans="2:7" x14ac:dyDescent="0.2">
      <c r="B1523" s="157"/>
      <c r="C1523" s="158"/>
      <c r="D1523" s="156"/>
      <c r="E1523" s="156"/>
      <c r="F1523" s="159" t="s">
        <v>459</v>
      </c>
      <c r="G1523" s="183">
        <v>5794.13</v>
      </c>
    </row>
    <row r="1524" spans="2:7" x14ac:dyDescent="0.2">
      <c r="B1524" s="157"/>
      <c r="C1524" s="158"/>
      <c r="D1524" s="156"/>
      <c r="E1524" s="156"/>
      <c r="F1524" s="159"/>
      <c r="G1524" s="160"/>
    </row>
    <row r="1525" spans="2:7" ht="17" thickBot="1" x14ac:dyDescent="0.25">
      <c r="B1525" s="206"/>
      <c r="C1525" s="207"/>
      <c r="D1525" s="208"/>
      <c r="E1525" s="209" t="s">
        <v>460</v>
      </c>
      <c r="F1525" s="210">
        <v>88001.55</v>
      </c>
      <c r="G1525" s="211">
        <v>44882</v>
      </c>
    </row>
    <row r="1526" spans="2:7" ht="17" thickTop="1" x14ac:dyDescent="0.2">
      <c r="B1526" s="212"/>
      <c r="C1526" s="213"/>
      <c r="D1526" s="212"/>
      <c r="E1526" s="212"/>
      <c r="F1526" s="212"/>
      <c r="G1526" s="212"/>
    </row>
    <row r="1527" spans="2:7" ht="17" thickBot="1" x14ac:dyDescent="0.25">
      <c r="B1527" s="212"/>
      <c r="C1527" s="213"/>
      <c r="D1527" s="212"/>
      <c r="E1527" s="212"/>
      <c r="F1527" s="212"/>
      <c r="G1527" s="212"/>
    </row>
    <row r="1528" spans="2:7" ht="17" thickTop="1" x14ac:dyDescent="0.2">
      <c r="B1528" s="537" t="s">
        <v>557</v>
      </c>
      <c r="C1528" s="538"/>
      <c r="D1528" s="538"/>
      <c r="E1528" s="538"/>
      <c r="F1528" s="148"/>
      <c r="G1528" s="149" t="s">
        <v>439</v>
      </c>
    </row>
    <row r="1529" spans="2:7" x14ac:dyDescent="0.2">
      <c r="B1529" s="539"/>
      <c r="C1529" s="540"/>
      <c r="D1529" s="540"/>
      <c r="E1529" s="540"/>
      <c r="F1529" s="150"/>
      <c r="G1529" s="151" t="s">
        <v>558</v>
      </c>
    </row>
    <row r="1530" spans="2:7" x14ac:dyDescent="0.2">
      <c r="B1530" s="152" t="s">
        <v>1</v>
      </c>
      <c r="C1530" s="153" t="s">
        <v>2</v>
      </c>
      <c r="D1530" s="153" t="s">
        <v>3</v>
      </c>
      <c r="E1530" s="153" t="s">
        <v>441</v>
      </c>
      <c r="F1530" s="154" t="s">
        <v>442</v>
      </c>
      <c r="G1530" s="155" t="s">
        <v>443</v>
      </c>
    </row>
    <row r="1531" spans="2:7" x14ac:dyDescent="0.2">
      <c r="B1531" s="157"/>
      <c r="C1531" s="158"/>
      <c r="D1531" s="156"/>
      <c r="E1531" s="156"/>
      <c r="F1531" s="159"/>
      <c r="G1531" s="160"/>
    </row>
    <row r="1532" spans="2:7" x14ac:dyDescent="0.2">
      <c r="B1532" s="161" t="s">
        <v>444</v>
      </c>
      <c r="C1532" s="158"/>
      <c r="D1532" s="156"/>
      <c r="E1532" s="156"/>
      <c r="F1532" s="159"/>
      <c r="G1532" s="160"/>
    </row>
    <row r="1533" spans="2:7" x14ac:dyDescent="0.2">
      <c r="B1533" s="218" t="s">
        <v>522</v>
      </c>
      <c r="C1533" s="233" t="s">
        <v>2</v>
      </c>
      <c r="D1533" s="332">
        <v>0.03</v>
      </c>
      <c r="E1533" s="226"/>
      <c r="F1533" s="251">
        <v>35343</v>
      </c>
      <c r="G1533" s="172">
        <v>1195.6099999999999</v>
      </c>
    </row>
    <row r="1534" spans="2:7" x14ac:dyDescent="0.2">
      <c r="B1534" s="152" t="s">
        <v>533</v>
      </c>
      <c r="C1534" s="233" t="s">
        <v>2</v>
      </c>
      <c r="D1534" s="332">
        <v>3</v>
      </c>
      <c r="E1534" s="226"/>
      <c r="F1534" s="251">
        <v>317</v>
      </c>
      <c r="G1534" s="204">
        <v>951</v>
      </c>
    </row>
    <row r="1535" spans="2:7" x14ac:dyDescent="0.2">
      <c r="B1535" s="180"/>
      <c r="C1535" s="185"/>
      <c r="D1535" s="181"/>
      <c r="E1535" s="186"/>
      <c r="F1535" s="222"/>
      <c r="G1535" s="230"/>
    </row>
    <row r="1536" spans="2:7" x14ac:dyDescent="0.2">
      <c r="B1536" s="157"/>
      <c r="C1536" s="158"/>
      <c r="D1536" s="156"/>
      <c r="E1536" s="156"/>
      <c r="F1536" s="159" t="s">
        <v>446</v>
      </c>
      <c r="G1536" s="183">
        <v>2146.61</v>
      </c>
    </row>
    <row r="1537" spans="2:7" x14ac:dyDescent="0.2">
      <c r="B1537" s="161" t="s">
        <v>447</v>
      </c>
      <c r="C1537" s="158"/>
      <c r="D1537" s="156"/>
      <c r="E1537" s="156"/>
      <c r="F1537" s="159"/>
      <c r="G1537" s="160"/>
    </row>
    <row r="1538" spans="2:7" x14ac:dyDescent="0.2">
      <c r="B1538" s="189" t="s">
        <v>523</v>
      </c>
      <c r="C1538" s="253">
        <v>401056</v>
      </c>
      <c r="D1538" s="254">
        <v>1.47</v>
      </c>
      <c r="E1538" s="255">
        <v>589552</v>
      </c>
      <c r="F1538" s="333">
        <v>40.200000000000003</v>
      </c>
      <c r="G1538" s="256">
        <v>14665.47</v>
      </c>
    </row>
    <row r="1539" spans="2:7" x14ac:dyDescent="0.2">
      <c r="B1539" s="200" t="s">
        <v>524</v>
      </c>
      <c r="C1539" s="298">
        <v>107473.5</v>
      </c>
      <c r="D1539" s="299">
        <v>1.47</v>
      </c>
      <c r="E1539" s="334">
        <v>157986</v>
      </c>
      <c r="F1539" s="342">
        <v>40.200000000000003</v>
      </c>
      <c r="G1539" s="301">
        <v>3930</v>
      </c>
    </row>
    <row r="1540" spans="2:7" x14ac:dyDescent="0.2">
      <c r="B1540" s="200" t="s">
        <v>525</v>
      </c>
      <c r="C1540" s="319">
        <v>272539.5</v>
      </c>
      <c r="D1540" s="320">
        <v>1.47</v>
      </c>
      <c r="E1540" s="321">
        <v>400633</v>
      </c>
      <c r="F1540" s="263">
        <v>121.82</v>
      </c>
      <c r="G1540" s="182">
        <v>3288.78</v>
      </c>
    </row>
    <row r="1541" spans="2:7" x14ac:dyDescent="0.2">
      <c r="B1541" s="180"/>
      <c r="C1541" s="185"/>
      <c r="D1541" s="205"/>
      <c r="E1541" s="170"/>
      <c r="F1541" s="222"/>
      <c r="G1541" s="230"/>
    </row>
    <row r="1542" spans="2:7" x14ac:dyDescent="0.2">
      <c r="B1542" s="157"/>
      <c r="C1542" s="158"/>
      <c r="D1542" s="156"/>
      <c r="E1542" s="156"/>
      <c r="F1542" s="159" t="s">
        <v>449</v>
      </c>
      <c r="G1542" s="183">
        <v>21884.25</v>
      </c>
    </row>
    <row r="1543" spans="2:7" x14ac:dyDescent="0.2">
      <c r="B1543" s="161" t="s">
        <v>450</v>
      </c>
      <c r="C1543" s="158"/>
      <c r="D1543" s="156"/>
      <c r="E1543" s="156"/>
      <c r="F1543" s="159"/>
      <c r="G1543" s="160"/>
    </row>
    <row r="1544" spans="2:7" x14ac:dyDescent="0.2">
      <c r="B1544" s="269" t="s">
        <v>527</v>
      </c>
      <c r="C1544" s="265" t="s">
        <v>114</v>
      </c>
      <c r="D1544" s="337">
        <v>0.1119</v>
      </c>
      <c r="E1544" s="267"/>
      <c r="F1544" s="272">
        <v>1600</v>
      </c>
      <c r="G1544" s="273">
        <v>179.1</v>
      </c>
    </row>
    <row r="1545" spans="2:7" x14ac:dyDescent="0.2">
      <c r="B1545" s="200" t="s">
        <v>528</v>
      </c>
      <c r="C1545" s="265" t="s">
        <v>114</v>
      </c>
      <c r="D1545" s="337">
        <v>7.46E-2</v>
      </c>
      <c r="E1545" s="267"/>
      <c r="F1545" s="282">
        <v>1600</v>
      </c>
      <c r="G1545" s="204">
        <v>119.4</v>
      </c>
    </row>
    <row r="1546" spans="2:7" x14ac:dyDescent="0.2">
      <c r="B1546" s="180"/>
      <c r="C1546" s="185"/>
      <c r="D1546" s="205"/>
      <c r="E1546" s="186"/>
      <c r="F1546" s="222"/>
      <c r="G1546" s="230"/>
    </row>
    <row r="1547" spans="2:7" x14ac:dyDescent="0.2">
      <c r="B1547" s="157"/>
      <c r="C1547" s="158"/>
      <c r="D1547" s="156"/>
      <c r="E1547" s="156"/>
      <c r="F1547" s="159" t="s">
        <v>452</v>
      </c>
      <c r="G1547" s="183">
        <v>298.5</v>
      </c>
    </row>
    <row r="1548" spans="2:7" x14ac:dyDescent="0.2">
      <c r="B1548" s="161" t="s">
        <v>453</v>
      </c>
      <c r="C1548" s="158"/>
      <c r="D1548" s="156"/>
      <c r="E1548" s="156"/>
      <c r="F1548" s="159"/>
      <c r="G1548" s="160"/>
    </row>
    <row r="1549" spans="2:7" x14ac:dyDescent="0.2">
      <c r="B1549" s="189" t="s">
        <v>454</v>
      </c>
      <c r="C1549" s="190" t="s">
        <v>2</v>
      </c>
      <c r="D1549" s="343">
        <v>2.5000000000000001E-2</v>
      </c>
      <c r="E1549" s="232"/>
      <c r="F1549" s="193">
        <v>121500</v>
      </c>
      <c r="G1549" s="194">
        <v>3037.5</v>
      </c>
    </row>
    <row r="1550" spans="2:7" x14ac:dyDescent="0.2">
      <c r="B1550" s="195" t="s">
        <v>530</v>
      </c>
      <c r="C1550" s="233" t="s">
        <v>114</v>
      </c>
      <c r="D1550" s="344">
        <v>8.2191781000000005E-2</v>
      </c>
      <c r="E1550" s="226"/>
      <c r="F1550" s="193">
        <v>12100</v>
      </c>
      <c r="G1550" s="199">
        <v>994.52</v>
      </c>
    </row>
    <row r="1551" spans="2:7" x14ac:dyDescent="0.2">
      <c r="B1551" s="200" t="s">
        <v>529</v>
      </c>
      <c r="C1551" s="169" t="s">
        <v>2</v>
      </c>
      <c r="D1551" s="345">
        <v>5.0000000000000001E-3</v>
      </c>
      <c r="E1551" s="170"/>
      <c r="F1551" s="193">
        <v>255000</v>
      </c>
      <c r="G1551" s="204">
        <v>1275</v>
      </c>
    </row>
    <row r="1552" spans="2:7" x14ac:dyDescent="0.2">
      <c r="B1552" s="291" t="s">
        <v>458</v>
      </c>
      <c r="C1552" s="292" t="s">
        <v>456</v>
      </c>
      <c r="D1552" s="293">
        <v>29636.38</v>
      </c>
      <c r="E1552" s="294"/>
      <c r="F1552" s="243"/>
      <c r="G1552" s="194" t="s">
        <v>457</v>
      </c>
    </row>
    <row r="1553" spans="2:7" x14ac:dyDescent="0.2">
      <c r="B1553" s="259" t="s">
        <v>455</v>
      </c>
      <c r="C1553" s="295" t="s">
        <v>456</v>
      </c>
      <c r="D1553" s="296">
        <v>29636.38</v>
      </c>
      <c r="E1553" s="197"/>
      <c r="F1553" s="198"/>
      <c r="G1553" s="273" t="s">
        <v>457</v>
      </c>
    </row>
    <row r="1554" spans="2:7" x14ac:dyDescent="0.2">
      <c r="B1554" s="180"/>
      <c r="C1554" s="169"/>
      <c r="D1554" s="205"/>
      <c r="E1554" s="170"/>
      <c r="F1554" s="171"/>
      <c r="G1554" s="230"/>
    </row>
    <row r="1555" spans="2:7" x14ac:dyDescent="0.2">
      <c r="B1555" s="157"/>
      <c r="C1555" s="158"/>
      <c r="D1555" s="156"/>
      <c r="E1555" s="156"/>
      <c r="F1555" s="159" t="s">
        <v>459</v>
      </c>
      <c r="G1555" s="183">
        <v>5307.02</v>
      </c>
    </row>
    <row r="1556" spans="2:7" x14ac:dyDescent="0.2">
      <c r="B1556" s="157"/>
      <c r="C1556" s="158"/>
      <c r="D1556" s="156"/>
      <c r="E1556" s="156"/>
      <c r="F1556" s="159"/>
      <c r="G1556" s="160"/>
    </row>
    <row r="1557" spans="2:7" ht="17" thickBot="1" x14ac:dyDescent="0.25">
      <c r="B1557" s="206"/>
      <c r="C1557" s="207"/>
      <c r="D1557" s="208"/>
      <c r="E1557" s="209" t="s">
        <v>460</v>
      </c>
      <c r="F1557" s="210">
        <v>62142.01</v>
      </c>
      <c r="G1557" s="211">
        <v>29636</v>
      </c>
    </row>
    <row r="1558" spans="2:7" ht="17" thickTop="1" x14ac:dyDescent="0.2">
      <c r="B1558" s="212"/>
      <c r="C1558" s="213"/>
      <c r="D1558" s="212"/>
      <c r="E1558" s="212"/>
      <c r="F1558" s="212"/>
      <c r="G1558" s="212"/>
    </row>
    <row r="1559" spans="2:7" ht="17" thickBot="1" x14ac:dyDescent="0.25">
      <c r="B1559" s="212"/>
      <c r="C1559" s="213"/>
      <c r="D1559" s="212"/>
      <c r="E1559" s="212"/>
      <c r="F1559" s="212"/>
      <c r="G1559" s="212"/>
    </row>
    <row r="1560" spans="2:7" ht="17" thickTop="1" x14ac:dyDescent="0.2">
      <c r="B1560" s="537" t="s">
        <v>559</v>
      </c>
      <c r="C1560" s="538"/>
      <c r="D1560" s="538"/>
      <c r="E1560" s="538"/>
      <c r="F1560" s="148"/>
      <c r="G1560" s="149" t="s">
        <v>439</v>
      </c>
    </row>
    <row r="1561" spans="2:7" x14ac:dyDescent="0.2">
      <c r="B1561" s="539"/>
      <c r="C1561" s="540"/>
      <c r="D1561" s="540"/>
      <c r="E1561" s="540"/>
      <c r="F1561" s="150"/>
      <c r="G1561" s="151" t="s">
        <v>560</v>
      </c>
    </row>
    <row r="1562" spans="2:7" x14ac:dyDescent="0.2">
      <c r="B1562" s="152" t="s">
        <v>1</v>
      </c>
      <c r="C1562" s="153" t="s">
        <v>2</v>
      </c>
      <c r="D1562" s="153" t="s">
        <v>3</v>
      </c>
      <c r="E1562" s="153" t="s">
        <v>441</v>
      </c>
      <c r="F1562" s="154" t="s">
        <v>442</v>
      </c>
      <c r="G1562" s="155" t="s">
        <v>443</v>
      </c>
    </row>
    <row r="1563" spans="2:7" x14ac:dyDescent="0.2">
      <c r="B1563" s="157"/>
      <c r="C1563" s="158"/>
      <c r="D1563" s="156"/>
      <c r="E1563" s="156"/>
      <c r="F1563" s="159"/>
      <c r="G1563" s="160"/>
    </row>
    <row r="1564" spans="2:7" x14ac:dyDescent="0.2">
      <c r="B1564" s="161" t="s">
        <v>444</v>
      </c>
      <c r="C1564" s="158"/>
      <c r="D1564" s="156"/>
      <c r="E1564" s="156"/>
      <c r="F1564" s="159"/>
      <c r="G1564" s="160"/>
    </row>
    <row r="1565" spans="2:7" x14ac:dyDescent="0.2">
      <c r="B1565" s="184" t="s">
        <v>533</v>
      </c>
      <c r="C1565" s="225" t="s">
        <v>2</v>
      </c>
      <c r="D1565" s="331">
        <v>3</v>
      </c>
      <c r="E1565" s="192"/>
      <c r="F1565" s="249">
        <v>317</v>
      </c>
      <c r="G1565" s="188">
        <v>951</v>
      </c>
    </row>
    <row r="1566" spans="2:7" x14ac:dyDescent="0.2">
      <c r="B1566" s="152" t="s">
        <v>522</v>
      </c>
      <c r="C1566" s="225" t="s">
        <v>2</v>
      </c>
      <c r="D1566" s="331">
        <v>0.01</v>
      </c>
      <c r="E1566" s="192"/>
      <c r="F1566" s="249">
        <v>35343</v>
      </c>
      <c r="G1566" s="199">
        <v>300.41000000000003</v>
      </c>
    </row>
    <row r="1567" spans="2:7" x14ac:dyDescent="0.2">
      <c r="B1567" s="180"/>
      <c r="C1567" s="185"/>
      <c r="D1567" s="181"/>
      <c r="E1567" s="186"/>
      <c r="F1567" s="222"/>
      <c r="G1567" s="230"/>
    </row>
    <row r="1568" spans="2:7" x14ac:dyDescent="0.2">
      <c r="B1568" s="157"/>
      <c r="C1568" s="158"/>
      <c r="D1568" s="156"/>
      <c r="E1568" s="156"/>
      <c r="F1568" s="159" t="s">
        <v>446</v>
      </c>
      <c r="G1568" s="183">
        <v>1251.4100000000001</v>
      </c>
    </row>
    <row r="1569" spans="2:7" x14ac:dyDescent="0.2">
      <c r="B1569" s="161" t="s">
        <v>447</v>
      </c>
      <c r="C1569" s="158"/>
      <c r="D1569" s="156"/>
      <c r="E1569" s="156"/>
      <c r="F1569" s="159"/>
      <c r="G1569" s="160"/>
    </row>
    <row r="1570" spans="2:7" x14ac:dyDescent="0.2">
      <c r="B1570" s="189" t="s">
        <v>523</v>
      </c>
      <c r="C1570" s="253">
        <v>401056</v>
      </c>
      <c r="D1570" s="254">
        <v>1.47</v>
      </c>
      <c r="E1570" s="255">
        <v>589552</v>
      </c>
      <c r="F1570" s="333">
        <v>57.8</v>
      </c>
      <c r="G1570" s="256">
        <v>10199.86</v>
      </c>
    </row>
    <row r="1571" spans="2:7" x14ac:dyDescent="0.2">
      <c r="B1571" s="200" t="s">
        <v>524</v>
      </c>
      <c r="C1571" s="298">
        <v>107473.5</v>
      </c>
      <c r="D1571" s="299">
        <v>1.47</v>
      </c>
      <c r="E1571" s="300">
        <v>157986</v>
      </c>
      <c r="F1571" s="263">
        <v>57.8</v>
      </c>
      <c r="G1571" s="301">
        <v>2733.32</v>
      </c>
    </row>
    <row r="1572" spans="2:7" x14ac:dyDescent="0.2">
      <c r="B1572" s="200" t="s">
        <v>525</v>
      </c>
      <c r="C1572" s="319">
        <v>272539.5</v>
      </c>
      <c r="D1572" s="320">
        <v>1.47</v>
      </c>
      <c r="E1572" s="321">
        <v>400633</v>
      </c>
      <c r="F1572" s="263">
        <v>175.15</v>
      </c>
      <c r="G1572" s="182">
        <v>2287.35</v>
      </c>
    </row>
    <row r="1573" spans="2:7" x14ac:dyDescent="0.2">
      <c r="B1573" s="180"/>
      <c r="C1573" s="185"/>
      <c r="D1573" s="205"/>
      <c r="E1573" s="170"/>
      <c r="F1573" s="222"/>
      <c r="G1573" s="230"/>
    </row>
    <row r="1574" spans="2:7" x14ac:dyDescent="0.2">
      <c r="B1574" s="157"/>
      <c r="C1574" s="158"/>
      <c r="D1574" s="156"/>
      <c r="E1574" s="156"/>
      <c r="F1574" s="159" t="s">
        <v>449</v>
      </c>
      <c r="G1574" s="183">
        <v>15220.53</v>
      </c>
    </row>
    <row r="1575" spans="2:7" x14ac:dyDescent="0.2">
      <c r="B1575" s="161" t="s">
        <v>450</v>
      </c>
      <c r="C1575" s="158"/>
      <c r="D1575" s="156"/>
      <c r="E1575" s="156"/>
      <c r="F1575" s="159"/>
      <c r="G1575" s="160"/>
    </row>
    <row r="1576" spans="2:7" x14ac:dyDescent="0.2">
      <c r="B1576" s="269" t="s">
        <v>527</v>
      </c>
      <c r="C1576" s="265" t="s">
        <v>114</v>
      </c>
      <c r="D1576" s="337">
        <v>7.7899999999999997E-2</v>
      </c>
      <c r="E1576" s="267"/>
      <c r="F1576" s="272">
        <v>1600</v>
      </c>
      <c r="G1576" s="273">
        <v>124.56</v>
      </c>
    </row>
    <row r="1577" spans="2:7" x14ac:dyDescent="0.2">
      <c r="B1577" s="200" t="s">
        <v>528</v>
      </c>
      <c r="C1577" s="265" t="s">
        <v>114</v>
      </c>
      <c r="D1577" s="337">
        <v>5.1900000000000002E-2</v>
      </c>
      <c r="E1577" s="267"/>
      <c r="F1577" s="282">
        <v>1600</v>
      </c>
      <c r="G1577" s="204">
        <v>83.04</v>
      </c>
    </row>
    <row r="1578" spans="2:7" x14ac:dyDescent="0.2">
      <c r="B1578" s="180"/>
      <c r="C1578" s="185"/>
      <c r="D1578" s="205"/>
      <c r="E1578" s="186"/>
      <c r="F1578" s="222"/>
      <c r="G1578" s="230"/>
    </row>
    <row r="1579" spans="2:7" x14ac:dyDescent="0.2">
      <c r="B1579" s="157"/>
      <c r="C1579" s="158"/>
      <c r="D1579" s="156"/>
      <c r="E1579" s="156"/>
      <c r="F1579" s="159" t="s">
        <v>452</v>
      </c>
      <c r="G1579" s="183">
        <v>207.6</v>
      </c>
    </row>
    <row r="1580" spans="2:7" x14ac:dyDescent="0.2">
      <c r="B1580" s="161" t="s">
        <v>453</v>
      </c>
      <c r="C1580" s="158"/>
      <c r="D1580" s="156"/>
      <c r="E1580" s="156"/>
      <c r="F1580" s="159"/>
      <c r="G1580" s="160"/>
    </row>
    <row r="1581" spans="2:7" x14ac:dyDescent="0.2">
      <c r="B1581" s="189" t="s">
        <v>454</v>
      </c>
      <c r="C1581" s="190" t="s">
        <v>2</v>
      </c>
      <c r="D1581" s="339">
        <v>2.5000000000000001E-2</v>
      </c>
      <c r="E1581" s="192"/>
      <c r="F1581" s="193">
        <v>121500</v>
      </c>
      <c r="G1581" s="194">
        <v>3037.5</v>
      </c>
    </row>
    <row r="1582" spans="2:7" x14ac:dyDescent="0.2">
      <c r="B1582" s="195" t="s">
        <v>530</v>
      </c>
      <c r="C1582" s="233" t="s">
        <v>114</v>
      </c>
      <c r="D1582" s="339">
        <v>5.7000000000000002E-2</v>
      </c>
      <c r="E1582" s="192"/>
      <c r="F1582" s="193">
        <v>12100</v>
      </c>
      <c r="G1582" s="199">
        <v>691.42</v>
      </c>
    </row>
    <row r="1583" spans="2:7" x14ac:dyDescent="0.2">
      <c r="B1583" s="200" t="s">
        <v>529</v>
      </c>
      <c r="C1583" s="169" t="s">
        <v>2</v>
      </c>
      <c r="D1583" s="339">
        <v>5.0000000000000001E-3</v>
      </c>
      <c r="E1583" s="192"/>
      <c r="F1583" s="193">
        <v>255000</v>
      </c>
      <c r="G1583" s="204">
        <v>1275</v>
      </c>
    </row>
    <row r="1584" spans="2:7" x14ac:dyDescent="0.2">
      <c r="B1584" s="291" t="s">
        <v>458</v>
      </c>
      <c r="C1584" s="292" t="s">
        <v>456</v>
      </c>
      <c r="D1584" s="247">
        <v>21683.46</v>
      </c>
      <c r="E1584" s="242"/>
      <c r="F1584" s="243"/>
      <c r="G1584" s="194" t="s">
        <v>457</v>
      </c>
    </row>
    <row r="1585" spans="2:7" x14ac:dyDescent="0.2">
      <c r="B1585" s="259" t="s">
        <v>455</v>
      </c>
      <c r="C1585" s="295" t="s">
        <v>456</v>
      </c>
      <c r="D1585" s="178">
        <v>21683.46</v>
      </c>
      <c r="E1585" s="197"/>
      <c r="F1585" s="198"/>
      <c r="G1585" s="273" t="s">
        <v>457</v>
      </c>
    </row>
    <row r="1586" spans="2:7" x14ac:dyDescent="0.2">
      <c r="B1586" s="180"/>
      <c r="C1586" s="169"/>
      <c r="D1586" s="205"/>
      <c r="E1586" s="170"/>
      <c r="F1586" s="171"/>
      <c r="G1586" s="230"/>
    </row>
    <row r="1587" spans="2:7" x14ac:dyDescent="0.2">
      <c r="B1587" s="157"/>
      <c r="C1587" s="158"/>
      <c r="D1587" s="156"/>
      <c r="E1587" s="156"/>
      <c r="F1587" s="159" t="s">
        <v>459</v>
      </c>
      <c r="G1587" s="183">
        <v>5003.92</v>
      </c>
    </row>
    <row r="1588" spans="2:7" x14ac:dyDescent="0.2">
      <c r="B1588" s="157"/>
      <c r="C1588" s="158"/>
      <c r="D1588" s="156"/>
      <c r="E1588" s="156"/>
      <c r="F1588" s="159"/>
      <c r="G1588" s="160"/>
    </row>
    <row r="1589" spans="2:7" ht="17" thickBot="1" x14ac:dyDescent="0.25">
      <c r="B1589" s="206"/>
      <c r="C1589" s="207"/>
      <c r="D1589" s="208"/>
      <c r="E1589" s="209" t="s">
        <v>460</v>
      </c>
      <c r="F1589" s="210">
        <v>43147.5</v>
      </c>
      <c r="G1589" s="211">
        <v>21683</v>
      </c>
    </row>
    <row r="1590" spans="2:7" ht="17" thickTop="1" x14ac:dyDescent="0.2">
      <c r="B1590" s="212"/>
      <c r="C1590" s="213"/>
      <c r="D1590" s="212"/>
      <c r="E1590" s="212"/>
      <c r="F1590" s="212"/>
      <c r="G1590" s="212"/>
    </row>
    <row r="1591" spans="2:7" ht="17" thickBot="1" x14ac:dyDescent="0.25">
      <c r="B1591" s="212"/>
      <c r="C1591" s="213"/>
      <c r="D1591" s="212"/>
      <c r="E1591" s="212"/>
      <c r="F1591" s="212"/>
      <c r="G1591" s="212"/>
    </row>
    <row r="1592" spans="2:7" ht="17" thickTop="1" x14ac:dyDescent="0.2">
      <c r="B1592" s="537" t="s">
        <v>561</v>
      </c>
      <c r="C1592" s="538"/>
      <c r="D1592" s="538"/>
      <c r="E1592" s="538"/>
      <c r="F1592" s="148"/>
      <c r="G1592" s="149" t="s">
        <v>439</v>
      </c>
    </row>
    <row r="1593" spans="2:7" x14ac:dyDescent="0.2">
      <c r="B1593" s="539"/>
      <c r="C1593" s="540"/>
      <c r="D1593" s="540"/>
      <c r="E1593" s="540"/>
      <c r="F1593" s="150"/>
      <c r="G1593" s="151" t="s">
        <v>562</v>
      </c>
    </row>
    <row r="1594" spans="2:7" x14ac:dyDescent="0.2">
      <c r="B1594" s="152" t="s">
        <v>1</v>
      </c>
      <c r="C1594" s="153" t="s">
        <v>2</v>
      </c>
      <c r="D1594" s="153" t="s">
        <v>3</v>
      </c>
      <c r="E1594" s="153" t="s">
        <v>441</v>
      </c>
      <c r="F1594" s="154" t="s">
        <v>442</v>
      </c>
      <c r="G1594" s="155" t="s">
        <v>443</v>
      </c>
    </row>
    <row r="1595" spans="2:7" x14ac:dyDescent="0.2">
      <c r="B1595" s="157"/>
      <c r="C1595" s="158"/>
      <c r="D1595" s="156"/>
      <c r="E1595" s="156"/>
      <c r="F1595" s="159"/>
      <c r="G1595" s="160"/>
    </row>
    <row r="1596" spans="2:7" x14ac:dyDescent="0.2">
      <c r="B1596" s="161" t="s">
        <v>444</v>
      </c>
      <c r="C1596" s="158"/>
      <c r="D1596" s="156"/>
      <c r="E1596" s="156"/>
      <c r="F1596" s="159"/>
      <c r="G1596" s="160"/>
    </row>
    <row r="1597" spans="2:7" x14ac:dyDescent="0.2">
      <c r="B1597" s="184" t="s">
        <v>533</v>
      </c>
      <c r="C1597" s="225" t="s">
        <v>2</v>
      </c>
      <c r="D1597" s="331">
        <v>4.5</v>
      </c>
      <c r="E1597" s="192"/>
      <c r="F1597" s="249">
        <v>317</v>
      </c>
      <c r="G1597" s="188">
        <v>1426.5</v>
      </c>
    </row>
    <row r="1598" spans="2:7" x14ac:dyDescent="0.2">
      <c r="B1598" s="152" t="s">
        <v>522</v>
      </c>
      <c r="C1598" s="225" t="s">
        <v>2</v>
      </c>
      <c r="D1598" s="331">
        <v>0.03</v>
      </c>
      <c r="E1598" s="192"/>
      <c r="F1598" s="249">
        <v>35343</v>
      </c>
      <c r="G1598" s="199">
        <v>1235.3699999999999</v>
      </c>
    </row>
    <row r="1599" spans="2:7" x14ac:dyDescent="0.2">
      <c r="B1599" s="259"/>
      <c r="C1599" s="185"/>
      <c r="D1599" s="181"/>
      <c r="E1599" s="186"/>
      <c r="F1599" s="222"/>
      <c r="G1599" s="204"/>
    </row>
    <row r="1600" spans="2:7" x14ac:dyDescent="0.2">
      <c r="B1600" s="157"/>
      <c r="C1600" s="158"/>
      <c r="D1600" s="156"/>
      <c r="E1600" s="156"/>
      <c r="F1600" s="159" t="s">
        <v>446</v>
      </c>
      <c r="G1600" s="183">
        <v>2661.87</v>
      </c>
    </row>
    <row r="1601" spans="2:7" x14ac:dyDescent="0.2">
      <c r="B1601" s="161" t="s">
        <v>447</v>
      </c>
      <c r="C1601" s="158"/>
      <c r="D1601" s="156"/>
      <c r="E1601" s="156"/>
      <c r="F1601" s="159"/>
      <c r="G1601" s="160"/>
    </row>
    <row r="1602" spans="2:7" x14ac:dyDescent="0.2">
      <c r="B1602" s="189" t="s">
        <v>523</v>
      </c>
      <c r="C1602" s="253">
        <v>401056</v>
      </c>
      <c r="D1602" s="254">
        <v>1.47</v>
      </c>
      <c r="E1602" s="255">
        <v>589552</v>
      </c>
      <c r="F1602" s="333">
        <v>38.53</v>
      </c>
      <c r="G1602" s="256">
        <v>15299.79</v>
      </c>
    </row>
    <row r="1603" spans="2:7" x14ac:dyDescent="0.2">
      <c r="B1603" s="346" t="s">
        <v>524</v>
      </c>
      <c r="C1603" s="298">
        <v>107473.5</v>
      </c>
      <c r="D1603" s="299">
        <v>1.47</v>
      </c>
      <c r="E1603" s="300">
        <v>157986</v>
      </c>
      <c r="F1603" s="263">
        <v>38.53</v>
      </c>
      <c r="G1603" s="301">
        <v>4099.9799999999996</v>
      </c>
    </row>
    <row r="1604" spans="2:7" x14ac:dyDescent="0.2">
      <c r="B1604" s="269" t="s">
        <v>525</v>
      </c>
      <c r="C1604" s="319">
        <v>272539.5</v>
      </c>
      <c r="D1604" s="320">
        <v>1.47</v>
      </c>
      <c r="E1604" s="321">
        <v>400633</v>
      </c>
      <c r="F1604" s="263">
        <v>116.77</v>
      </c>
      <c r="G1604" s="182">
        <v>3431.03</v>
      </c>
    </row>
    <row r="1605" spans="2:7" x14ac:dyDescent="0.2">
      <c r="B1605" s="180"/>
      <c r="C1605" s="185"/>
      <c r="D1605" s="205"/>
      <c r="E1605" s="170"/>
      <c r="F1605" s="222"/>
      <c r="G1605" s="230"/>
    </row>
    <row r="1606" spans="2:7" x14ac:dyDescent="0.2">
      <c r="B1606" s="157"/>
      <c r="C1606" s="158"/>
      <c r="D1606" s="156"/>
      <c r="E1606" s="156"/>
      <c r="F1606" s="159" t="s">
        <v>449</v>
      </c>
      <c r="G1606" s="183">
        <v>22830.799999999999</v>
      </c>
    </row>
    <row r="1607" spans="2:7" x14ac:dyDescent="0.2">
      <c r="B1607" s="161" t="s">
        <v>450</v>
      </c>
      <c r="C1607" s="158"/>
      <c r="D1607" s="156"/>
      <c r="E1607" s="156"/>
      <c r="F1607" s="159"/>
      <c r="G1607" s="160"/>
    </row>
    <row r="1608" spans="2:7" x14ac:dyDescent="0.2">
      <c r="B1608" s="269" t="s">
        <v>527</v>
      </c>
      <c r="C1608" s="265" t="s">
        <v>114</v>
      </c>
      <c r="D1608" s="337">
        <v>0.1168</v>
      </c>
      <c r="E1608" s="267"/>
      <c r="F1608" s="272">
        <v>1600</v>
      </c>
      <c r="G1608" s="273">
        <v>186.85</v>
      </c>
    </row>
    <row r="1609" spans="2:7" x14ac:dyDescent="0.2">
      <c r="B1609" s="200" t="s">
        <v>528</v>
      </c>
      <c r="C1609" s="265" t="s">
        <v>114</v>
      </c>
      <c r="D1609" s="337">
        <v>7.7899999999999997E-2</v>
      </c>
      <c r="E1609" s="267"/>
      <c r="F1609" s="282">
        <v>1600</v>
      </c>
      <c r="G1609" s="204">
        <v>124.56</v>
      </c>
    </row>
    <row r="1610" spans="2:7" x14ac:dyDescent="0.2">
      <c r="B1610" s="180"/>
      <c r="C1610" s="185"/>
      <c r="D1610" s="205"/>
      <c r="E1610" s="186"/>
      <c r="F1610" s="222"/>
      <c r="G1610" s="230"/>
    </row>
    <row r="1611" spans="2:7" x14ac:dyDescent="0.2">
      <c r="B1611" s="157"/>
      <c r="C1611" s="158"/>
      <c r="D1611" s="156"/>
      <c r="E1611" s="156"/>
      <c r="F1611" s="159" t="s">
        <v>452</v>
      </c>
      <c r="G1611" s="183">
        <v>311.41000000000003</v>
      </c>
    </row>
    <row r="1612" spans="2:7" x14ac:dyDescent="0.2">
      <c r="B1612" s="161" t="s">
        <v>453</v>
      </c>
      <c r="C1612" s="158"/>
      <c r="D1612" s="156"/>
      <c r="E1612" s="156"/>
      <c r="F1612" s="159"/>
      <c r="G1612" s="160"/>
    </row>
    <row r="1613" spans="2:7" x14ac:dyDescent="0.2">
      <c r="B1613" s="189" t="s">
        <v>454</v>
      </c>
      <c r="C1613" s="190" t="s">
        <v>2</v>
      </c>
      <c r="D1613" s="339">
        <v>3.7999999999999999E-2</v>
      </c>
      <c r="E1613" s="192"/>
      <c r="F1613" s="193">
        <v>121500</v>
      </c>
      <c r="G1613" s="194">
        <v>4556.25</v>
      </c>
    </row>
    <row r="1614" spans="2:7" x14ac:dyDescent="0.2">
      <c r="B1614" s="195" t="s">
        <v>530</v>
      </c>
      <c r="C1614" s="233" t="s">
        <v>114</v>
      </c>
      <c r="D1614" s="339">
        <v>8.5999999999999993E-2</v>
      </c>
      <c r="E1614" s="192"/>
      <c r="F1614" s="193">
        <v>12100</v>
      </c>
      <c r="G1614" s="199">
        <v>1037.1400000000001</v>
      </c>
    </row>
    <row r="1615" spans="2:7" x14ac:dyDescent="0.2">
      <c r="B1615" s="200" t="s">
        <v>529</v>
      </c>
      <c r="C1615" s="169" t="s">
        <v>2</v>
      </c>
      <c r="D1615" s="339">
        <v>8.0000000000000002E-3</v>
      </c>
      <c r="E1615" s="192"/>
      <c r="F1615" s="193">
        <v>255000</v>
      </c>
      <c r="G1615" s="204">
        <v>1912.5</v>
      </c>
    </row>
    <row r="1616" spans="2:7" x14ac:dyDescent="0.2">
      <c r="B1616" s="291" t="s">
        <v>458</v>
      </c>
      <c r="C1616" s="292" t="s">
        <v>456</v>
      </c>
      <c r="D1616" s="247">
        <v>33309.97</v>
      </c>
      <c r="E1616" s="242"/>
      <c r="F1616" s="243"/>
      <c r="G1616" s="194" t="s">
        <v>457</v>
      </c>
    </row>
    <row r="1617" spans="2:7" x14ac:dyDescent="0.2">
      <c r="B1617" s="259" t="s">
        <v>455</v>
      </c>
      <c r="C1617" s="295" t="s">
        <v>456</v>
      </c>
      <c r="D1617" s="178">
        <v>33309.97</v>
      </c>
      <c r="E1617" s="197"/>
      <c r="F1617" s="198"/>
      <c r="G1617" s="273" t="s">
        <v>457</v>
      </c>
    </row>
    <row r="1618" spans="2:7" x14ac:dyDescent="0.2">
      <c r="B1618" s="180"/>
      <c r="C1618" s="169"/>
      <c r="D1618" s="205"/>
      <c r="E1618" s="170"/>
      <c r="F1618" s="171"/>
      <c r="G1618" s="230"/>
    </row>
    <row r="1619" spans="2:7" x14ac:dyDescent="0.2">
      <c r="B1619" s="157"/>
      <c r="C1619" s="158"/>
      <c r="D1619" s="156"/>
      <c r="E1619" s="156"/>
      <c r="F1619" s="159" t="s">
        <v>459</v>
      </c>
      <c r="G1619" s="183">
        <v>7505.89</v>
      </c>
    </row>
    <row r="1620" spans="2:7" x14ac:dyDescent="0.2">
      <c r="B1620" s="157"/>
      <c r="C1620" s="158"/>
      <c r="D1620" s="156"/>
      <c r="E1620" s="156"/>
      <c r="F1620" s="159"/>
      <c r="G1620" s="160"/>
    </row>
    <row r="1621" spans="2:7" ht="17" thickBot="1" x14ac:dyDescent="0.25">
      <c r="B1621" s="206"/>
      <c r="C1621" s="207"/>
      <c r="D1621" s="208"/>
      <c r="E1621" s="209" t="s">
        <v>460</v>
      </c>
      <c r="F1621" s="210">
        <v>49013.84</v>
      </c>
      <c r="G1621" s="211">
        <v>33310</v>
      </c>
    </row>
    <row r="1622" spans="2:7" ht="17" thickTop="1" x14ac:dyDescent="0.2">
      <c r="B1622" s="212"/>
      <c r="C1622" s="213"/>
      <c r="D1622" s="212"/>
      <c r="E1622" s="212"/>
      <c r="F1622" s="212"/>
      <c r="G1622" s="212"/>
    </row>
    <row r="1623" spans="2:7" ht="17" thickBot="1" x14ac:dyDescent="0.25">
      <c r="B1623" s="212"/>
      <c r="C1623" s="213"/>
      <c r="D1623" s="212"/>
      <c r="E1623" s="212"/>
      <c r="F1623" s="212"/>
      <c r="G1623" s="212"/>
    </row>
    <row r="1624" spans="2:7" ht="17" thickTop="1" x14ac:dyDescent="0.2">
      <c r="B1624" s="537" t="s">
        <v>563</v>
      </c>
      <c r="C1624" s="538"/>
      <c r="D1624" s="538"/>
      <c r="E1624" s="538"/>
      <c r="F1624" s="148"/>
      <c r="G1624" s="149" t="s">
        <v>439</v>
      </c>
    </row>
    <row r="1625" spans="2:7" x14ac:dyDescent="0.2">
      <c r="B1625" s="539"/>
      <c r="C1625" s="540"/>
      <c r="D1625" s="540"/>
      <c r="E1625" s="540"/>
      <c r="F1625" s="150"/>
      <c r="G1625" s="151" t="s">
        <v>564</v>
      </c>
    </row>
    <row r="1626" spans="2:7" x14ac:dyDescent="0.2">
      <c r="B1626" s="152" t="s">
        <v>1</v>
      </c>
      <c r="C1626" s="153" t="s">
        <v>2</v>
      </c>
      <c r="D1626" s="153" t="s">
        <v>3</v>
      </c>
      <c r="E1626" s="153" t="s">
        <v>441</v>
      </c>
      <c r="F1626" s="154" t="s">
        <v>442</v>
      </c>
      <c r="G1626" s="155" t="s">
        <v>443</v>
      </c>
    </row>
    <row r="1627" spans="2:7" x14ac:dyDescent="0.2">
      <c r="B1627" s="157"/>
      <c r="C1627" s="158"/>
      <c r="D1627" s="156"/>
      <c r="E1627" s="156"/>
      <c r="F1627" s="159"/>
      <c r="G1627" s="160"/>
    </row>
    <row r="1628" spans="2:7" x14ac:dyDescent="0.2">
      <c r="B1628" s="161" t="s">
        <v>444</v>
      </c>
      <c r="C1628" s="158"/>
      <c r="D1628" s="156"/>
      <c r="E1628" s="156"/>
      <c r="F1628" s="159"/>
      <c r="G1628" s="160"/>
    </row>
    <row r="1629" spans="2:7" x14ac:dyDescent="0.2">
      <c r="B1629" s="184" t="s">
        <v>533</v>
      </c>
      <c r="C1629" s="225" t="s">
        <v>2</v>
      </c>
      <c r="D1629" s="331">
        <v>6</v>
      </c>
      <c r="E1629" s="192"/>
      <c r="F1629" s="249">
        <v>317</v>
      </c>
      <c r="G1629" s="188">
        <v>1902</v>
      </c>
    </row>
    <row r="1630" spans="2:7" x14ac:dyDescent="0.2">
      <c r="B1630" s="152" t="s">
        <v>522</v>
      </c>
      <c r="C1630" s="225" t="s">
        <v>2</v>
      </c>
      <c r="D1630" s="331">
        <v>0.04</v>
      </c>
      <c r="E1630" s="192"/>
      <c r="F1630" s="249">
        <v>35343</v>
      </c>
      <c r="G1630" s="199">
        <v>1275.1300000000001</v>
      </c>
    </row>
    <row r="1631" spans="2:7" x14ac:dyDescent="0.2">
      <c r="B1631" s="180"/>
      <c r="C1631" s="185"/>
      <c r="D1631" s="181"/>
      <c r="E1631" s="186"/>
      <c r="F1631" s="222"/>
      <c r="G1631" s="230"/>
    </row>
    <row r="1632" spans="2:7" x14ac:dyDescent="0.2">
      <c r="B1632" s="157"/>
      <c r="C1632" s="158"/>
      <c r="D1632" s="156"/>
      <c r="E1632" s="156"/>
      <c r="F1632" s="159" t="s">
        <v>446</v>
      </c>
      <c r="G1632" s="183">
        <v>3177.13</v>
      </c>
    </row>
    <row r="1633" spans="2:7" x14ac:dyDescent="0.2">
      <c r="B1633" s="161" t="s">
        <v>447</v>
      </c>
      <c r="C1633" s="158"/>
      <c r="D1633" s="156"/>
      <c r="E1633" s="156"/>
      <c r="F1633" s="159"/>
      <c r="G1633" s="160"/>
    </row>
    <row r="1634" spans="2:7" x14ac:dyDescent="0.2">
      <c r="B1634" s="189" t="s">
        <v>523</v>
      </c>
      <c r="C1634" s="253">
        <v>401056</v>
      </c>
      <c r="D1634" s="254">
        <v>1.47</v>
      </c>
      <c r="E1634" s="255">
        <v>589552</v>
      </c>
      <c r="F1634" s="333">
        <v>28.91</v>
      </c>
      <c r="G1634" s="256">
        <v>20395.02</v>
      </c>
    </row>
    <row r="1635" spans="2:7" x14ac:dyDescent="0.2">
      <c r="B1635" s="346" t="s">
        <v>524</v>
      </c>
      <c r="C1635" s="298">
        <v>107473.5</v>
      </c>
      <c r="D1635" s="299">
        <v>1.47</v>
      </c>
      <c r="E1635" s="300">
        <v>157986</v>
      </c>
      <c r="F1635" s="263">
        <v>28.91</v>
      </c>
      <c r="G1635" s="301">
        <v>5465.38</v>
      </c>
    </row>
    <row r="1636" spans="2:7" x14ac:dyDescent="0.2">
      <c r="B1636" s="269" t="s">
        <v>525</v>
      </c>
      <c r="C1636" s="319">
        <v>272539.5</v>
      </c>
      <c r="D1636" s="320">
        <v>1.47</v>
      </c>
      <c r="E1636" s="321">
        <v>400633</v>
      </c>
      <c r="F1636" s="263">
        <v>87.6</v>
      </c>
      <c r="G1636" s="182">
        <v>4573.6499999999996</v>
      </c>
    </row>
    <row r="1637" spans="2:7" x14ac:dyDescent="0.2">
      <c r="B1637" s="180"/>
      <c r="C1637" s="185"/>
      <c r="D1637" s="205"/>
      <c r="E1637" s="170"/>
      <c r="F1637" s="222"/>
      <c r="G1637" s="230"/>
    </row>
    <row r="1638" spans="2:7" x14ac:dyDescent="0.2">
      <c r="B1638" s="157"/>
      <c r="C1638" s="158"/>
      <c r="D1638" s="156"/>
      <c r="E1638" s="156"/>
      <c r="F1638" s="159" t="s">
        <v>449</v>
      </c>
      <c r="G1638" s="183">
        <v>30434.05</v>
      </c>
    </row>
    <row r="1639" spans="2:7" x14ac:dyDescent="0.2">
      <c r="B1639" s="161" t="s">
        <v>450</v>
      </c>
      <c r="C1639" s="158"/>
      <c r="D1639" s="156"/>
      <c r="E1639" s="156"/>
      <c r="F1639" s="159"/>
      <c r="G1639" s="160"/>
    </row>
    <row r="1640" spans="2:7" x14ac:dyDescent="0.2">
      <c r="B1640" s="269" t="s">
        <v>527</v>
      </c>
      <c r="C1640" s="265" t="s">
        <v>114</v>
      </c>
      <c r="D1640" s="337">
        <v>0.15570000000000001</v>
      </c>
      <c r="E1640" s="267"/>
      <c r="F1640" s="272">
        <v>1600</v>
      </c>
      <c r="G1640" s="273">
        <v>249.07</v>
      </c>
    </row>
    <row r="1641" spans="2:7" x14ac:dyDescent="0.2">
      <c r="B1641" s="200" t="s">
        <v>528</v>
      </c>
      <c r="C1641" s="265" t="s">
        <v>114</v>
      </c>
      <c r="D1641" s="337">
        <v>0.1038</v>
      </c>
      <c r="E1641" s="267"/>
      <c r="F1641" s="282">
        <v>1600</v>
      </c>
      <c r="G1641" s="204">
        <v>166.05</v>
      </c>
    </row>
    <row r="1642" spans="2:7" x14ac:dyDescent="0.2">
      <c r="B1642" s="180"/>
      <c r="C1642" s="185"/>
      <c r="D1642" s="205"/>
      <c r="E1642" s="186"/>
      <c r="F1642" s="222"/>
      <c r="G1642" s="230"/>
    </row>
    <row r="1643" spans="2:7" x14ac:dyDescent="0.2">
      <c r="B1643" s="157"/>
      <c r="C1643" s="158"/>
      <c r="D1643" s="156"/>
      <c r="E1643" s="156"/>
      <c r="F1643" s="159" t="s">
        <v>452</v>
      </c>
      <c r="G1643" s="183">
        <v>415.12</v>
      </c>
    </row>
    <row r="1644" spans="2:7" x14ac:dyDescent="0.2">
      <c r="B1644" s="161" t="s">
        <v>453</v>
      </c>
      <c r="C1644" s="158"/>
      <c r="D1644" s="156"/>
      <c r="E1644" s="156"/>
      <c r="F1644" s="159"/>
      <c r="G1644" s="160"/>
    </row>
    <row r="1645" spans="2:7" x14ac:dyDescent="0.2">
      <c r="B1645" s="189" t="s">
        <v>454</v>
      </c>
      <c r="C1645" s="190" t="s">
        <v>2</v>
      </c>
      <c r="D1645" s="339">
        <v>0.05</v>
      </c>
      <c r="E1645" s="192"/>
      <c r="F1645" s="193">
        <v>121500</v>
      </c>
      <c r="G1645" s="194">
        <v>6075</v>
      </c>
    </row>
    <row r="1646" spans="2:7" x14ac:dyDescent="0.2">
      <c r="B1646" s="195" t="s">
        <v>530</v>
      </c>
      <c r="C1646" s="233" t="s">
        <v>114</v>
      </c>
      <c r="D1646" s="339">
        <v>0.114</v>
      </c>
      <c r="E1646" s="192"/>
      <c r="F1646" s="193">
        <v>12100</v>
      </c>
      <c r="G1646" s="199">
        <v>1382.85</v>
      </c>
    </row>
    <row r="1647" spans="2:7" x14ac:dyDescent="0.2">
      <c r="B1647" s="200" t="s">
        <v>529</v>
      </c>
      <c r="C1647" s="169" t="s">
        <v>2</v>
      </c>
      <c r="D1647" s="339">
        <v>0.01</v>
      </c>
      <c r="E1647" s="192"/>
      <c r="F1647" s="193">
        <v>255000</v>
      </c>
      <c r="G1647" s="204">
        <v>2550</v>
      </c>
    </row>
    <row r="1648" spans="2:7" x14ac:dyDescent="0.2">
      <c r="B1648" s="291" t="s">
        <v>458</v>
      </c>
      <c r="C1648" s="292" t="s">
        <v>456</v>
      </c>
      <c r="D1648" s="247">
        <v>44034.15</v>
      </c>
      <c r="E1648" s="242"/>
      <c r="F1648" s="243"/>
      <c r="G1648" s="194" t="s">
        <v>457</v>
      </c>
    </row>
    <row r="1649" spans="2:7" x14ac:dyDescent="0.2">
      <c r="B1649" s="259" t="s">
        <v>455</v>
      </c>
      <c r="C1649" s="295" t="s">
        <v>456</v>
      </c>
      <c r="D1649" s="178">
        <v>44034.15</v>
      </c>
      <c r="E1649" s="197"/>
      <c r="F1649" s="198"/>
      <c r="G1649" s="273" t="s">
        <v>457</v>
      </c>
    </row>
    <row r="1650" spans="2:7" x14ac:dyDescent="0.2">
      <c r="B1650" s="180"/>
      <c r="C1650" s="169"/>
      <c r="D1650" s="205"/>
      <c r="E1650" s="170"/>
      <c r="F1650" s="171"/>
      <c r="G1650" s="230"/>
    </row>
    <row r="1651" spans="2:7" x14ac:dyDescent="0.2">
      <c r="B1651" s="157"/>
      <c r="C1651" s="158"/>
      <c r="D1651" s="156"/>
      <c r="E1651" s="156"/>
      <c r="F1651" s="159" t="s">
        <v>459</v>
      </c>
      <c r="G1651" s="183">
        <v>10007.85</v>
      </c>
    </row>
    <row r="1652" spans="2:7" x14ac:dyDescent="0.2">
      <c r="B1652" s="157"/>
      <c r="C1652" s="158"/>
      <c r="D1652" s="156"/>
      <c r="E1652" s="156"/>
      <c r="F1652" s="159"/>
      <c r="G1652" s="160"/>
    </row>
    <row r="1653" spans="2:7" ht="17" thickBot="1" x14ac:dyDescent="0.25">
      <c r="B1653" s="206"/>
      <c r="C1653" s="207"/>
      <c r="D1653" s="208"/>
      <c r="E1653" s="209" t="s">
        <v>460</v>
      </c>
      <c r="F1653" s="210">
        <v>68158.850000000006</v>
      </c>
      <c r="G1653" s="211">
        <v>44034</v>
      </c>
    </row>
    <row r="1654" spans="2:7" ht="17" thickTop="1" x14ac:dyDescent="0.2">
      <c r="B1654" s="212"/>
      <c r="C1654" s="213"/>
      <c r="D1654" s="212"/>
      <c r="E1654" s="212"/>
      <c r="F1654" s="212"/>
      <c r="G1654" s="212"/>
    </row>
    <row r="1655" spans="2:7" ht="17" thickBot="1" x14ac:dyDescent="0.25">
      <c r="B1655" s="212"/>
      <c r="C1655" s="213"/>
      <c r="D1655" s="212"/>
      <c r="E1655" s="212"/>
      <c r="F1655" s="212"/>
      <c r="G1655" s="212"/>
    </row>
    <row r="1656" spans="2:7" ht="17" thickTop="1" x14ac:dyDescent="0.2">
      <c r="B1656" s="537" t="s">
        <v>565</v>
      </c>
      <c r="C1656" s="538"/>
      <c r="D1656" s="538"/>
      <c r="E1656" s="538"/>
      <c r="F1656" s="148"/>
      <c r="G1656" s="149" t="s">
        <v>439</v>
      </c>
    </row>
    <row r="1657" spans="2:7" x14ac:dyDescent="0.2">
      <c r="B1657" s="539"/>
      <c r="C1657" s="540"/>
      <c r="D1657" s="540"/>
      <c r="E1657" s="540"/>
      <c r="F1657" s="150"/>
      <c r="G1657" s="151" t="s">
        <v>566</v>
      </c>
    </row>
    <row r="1658" spans="2:7" x14ac:dyDescent="0.2">
      <c r="B1658" s="152" t="s">
        <v>1</v>
      </c>
      <c r="C1658" s="153" t="s">
        <v>2</v>
      </c>
      <c r="D1658" s="153" t="s">
        <v>3</v>
      </c>
      <c r="E1658" s="153" t="s">
        <v>441</v>
      </c>
      <c r="F1658" s="154" t="s">
        <v>442</v>
      </c>
      <c r="G1658" s="155" t="s">
        <v>443</v>
      </c>
    </row>
    <row r="1659" spans="2:7" x14ac:dyDescent="0.2">
      <c r="B1659" s="157"/>
      <c r="C1659" s="158"/>
      <c r="D1659" s="156"/>
      <c r="E1659" s="156"/>
      <c r="F1659" s="159"/>
      <c r="G1659" s="160"/>
    </row>
    <row r="1660" spans="2:7" x14ac:dyDescent="0.2">
      <c r="B1660" s="161" t="s">
        <v>444</v>
      </c>
      <c r="C1660" s="158"/>
      <c r="D1660" s="156"/>
      <c r="E1660" s="156"/>
      <c r="F1660" s="159"/>
      <c r="G1660" s="160"/>
    </row>
    <row r="1661" spans="2:7" ht="52" x14ac:dyDescent="0.2">
      <c r="B1661" s="302" t="s">
        <v>541</v>
      </c>
      <c r="C1661" s="190" t="s">
        <v>2</v>
      </c>
      <c r="D1661" s="347">
        <v>1.05</v>
      </c>
      <c r="E1661" s="303" t="s">
        <v>542</v>
      </c>
      <c r="F1661" s="166">
        <v>8655.42</v>
      </c>
      <c r="G1661" s="304">
        <v>9088.19</v>
      </c>
    </row>
    <row r="1662" spans="2:7" ht="26" x14ac:dyDescent="0.2">
      <c r="B1662" s="305" t="s">
        <v>543</v>
      </c>
      <c r="C1662" s="295" t="s">
        <v>2</v>
      </c>
      <c r="D1662" s="347">
        <v>9</v>
      </c>
      <c r="E1662" s="306">
        <v>5</v>
      </c>
      <c r="F1662" s="166">
        <v>535.5</v>
      </c>
      <c r="G1662" s="279">
        <v>5060.47</v>
      </c>
    </row>
    <row r="1663" spans="2:7" x14ac:dyDescent="0.2">
      <c r="B1663" s="195" t="s">
        <v>522</v>
      </c>
      <c r="C1663" s="169" t="s">
        <v>2</v>
      </c>
      <c r="D1663" s="347">
        <v>0.08</v>
      </c>
      <c r="E1663" s="307">
        <v>5</v>
      </c>
      <c r="F1663" s="166">
        <v>35343</v>
      </c>
      <c r="G1663" s="182">
        <v>3116.22</v>
      </c>
    </row>
    <row r="1664" spans="2:7" ht="39" x14ac:dyDescent="0.2">
      <c r="B1664" s="305" t="s">
        <v>544</v>
      </c>
      <c r="C1664" s="201" t="s">
        <v>2</v>
      </c>
      <c r="D1664" s="347">
        <v>0.13</v>
      </c>
      <c r="E1664" s="308"/>
      <c r="F1664" s="166">
        <v>22610</v>
      </c>
      <c r="G1664" s="182">
        <v>2967.56</v>
      </c>
    </row>
    <row r="1665" spans="2:7" x14ac:dyDescent="0.2">
      <c r="B1665" s="309" t="s">
        <v>545</v>
      </c>
      <c r="C1665" s="233" t="s">
        <v>2</v>
      </c>
      <c r="D1665" s="347">
        <v>0.23</v>
      </c>
      <c r="E1665" s="310" t="s">
        <v>542</v>
      </c>
      <c r="F1665" s="249">
        <v>21876.22</v>
      </c>
      <c r="G1665" s="311">
        <v>5104.45</v>
      </c>
    </row>
    <row r="1666" spans="2:7" ht="52" x14ac:dyDescent="0.2">
      <c r="B1666" s="305" t="s">
        <v>546</v>
      </c>
      <c r="C1666" s="295" t="s">
        <v>2</v>
      </c>
      <c r="D1666" s="347">
        <v>3.15</v>
      </c>
      <c r="E1666" s="306">
        <v>5</v>
      </c>
      <c r="F1666" s="312">
        <v>45.22</v>
      </c>
      <c r="G1666" s="279">
        <v>149.56</v>
      </c>
    </row>
    <row r="1667" spans="2:7" ht="78" x14ac:dyDescent="0.2">
      <c r="B1667" s="309" t="s">
        <v>547</v>
      </c>
      <c r="C1667" s="233" t="s">
        <v>8</v>
      </c>
      <c r="D1667" s="347">
        <v>1.05</v>
      </c>
      <c r="E1667" s="310" t="s">
        <v>542</v>
      </c>
      <c r="F1667" s="313">
        <v>1228.02</v>
      </c>
      <c r="G1667" s="311">
        <v>1289.4100000000001</v>
      </c>
    </row>
    <row r="1668" spans="2:7" x14ac:dyDescent="0.2">
      <c r="B1668" s="236"/>
      <c r="C1668" s="185"/>
      <c r="D1668" s="181"/>
      <c r="E1668" s="314"/>
      <c r="F1668" s="222"/>
      <c r="G1668" s="315"/>
    </row>
    <row r="1669" spans="2:7" x14ac:dyDescent="0.2">
      <c r="B1669" s="157"/>
      <c r="C1669" s="158"/>
      <c r="D1669" s="156"/>
      <c r="E1669" s="156"/>
      <c r="F1669" s="159" t="s">
        <v>446</v>
      </c>
      <c r="G1669" s="183">
        <v>26775.86</v>
      </c>
    </row>
    <row r="1670" spans="2:7" x14ac:dyDescent="0.2">
      <c r="B1670" s="161" t="s">
        <v>447</v>
      </c>
      <c r="C1670" s="158"/>
      <c r="D1670" s="156"/>
      <c r="E1670" s="156"/>
      <c r="F1670" s="159"/>
      <c r="G1670" s="160"/>
    </row>
    <row r="1671" spans="2:7" x14ac:dyDescent="0.2">
      <c r="B1671" s="168" t="s">
        <v>523</v>
      </c>
      <c r="C1671" s="253">
        <v>401056</v>
      </c>
      <c r="D1671" s="316">
        <v>1.47</v>
      </c>
      <c r="E1671" s="317">
        <v>589552</v>
      </c>
      <c r="F1671" s="348">
        <v>23.88</v>
      </c>
      <c r="G1671" s="318">
        <v>24689.09</v>
      </c>
    </row>
    <row r="1672" spans="2:7" x14ac:dyDescent="0.2">
      <c r="B1672" s="195" t="s">
        <v>524</v>
      </c>
      <c r="C1672" s="298">
        <v>107473.5</v>
      </c>
      <c r="D1672" s="349">
        <v>1.47</v>
      </c>
      <c r="E1672" s="334">
        <v>157986</v>
      </c>
      <c r="F1672" s="263">
        <v>23.88</v>
      </c>
      <c r="G1672" s="350">
        <v>6616.09</v>
      </c>
    </row>
    <row r="1673" spans="2:7" x14ac:dyDescent="0.2">
      <c r="B1673" s="239" t="s">
        <v>525</v>
      </c>
      <c r="C1673" s="351">
        <v>272539.5</v>
      </c>
      <c r="D1673" s="320">
        <v>1.47</v>
      </c>
      <c r="E1673" s="321">
        <v>400633</v>
      </c>
      <c r="F1673" s="263">
        <v>47.76</v>
      </c>
      <c r="G1673" s="182">
        <v>8388.7999999999993</v>
      </c>
    </row>
    <row r="1674" spans="2:7" x14ac:dyDescent="0.2">
      <c r="B1674" s="157"/>
      <c r="C1674" s="158"/>
      <c r="D1674" s="156"/>
      <c r="E1674" s="156"/>
      <c r="F1674" s="159" t="s">
        <v>449</v>
      </c>
      <c r="G1674" s="183">
        <v>39693.980000000003</v>
      </c>
    </row>
    <row r="1675" spans="2:7" x14ac:dyDescent="0.2">
      <c r="B1675" s="161" t="s">
        <v>450</v>
      </c>
      <c r="C1675" s="158"/>
      <c r="D1675" s="156"/>
      <c r="E1675" s="156"/>
      <c r="F1675" s="159"/>
      <c r="G1675" s="160"/>
    </row>
    <row r="1676" spans="2:7" x14ac:dyDescent="0.2">
      <c r="B1676" s="162" t="s">
        <v>548</v>
      </c>
      <c r="C1676" s="163" t="s">
        <v>114</v>
      </c>
      <c r="D1676" s="337">
        <v>0.2054</v>
      </c>
      <c r="E1676" s="323"/>
      <c r="F1676" s="312">
        <v>20900</v>
      </c>
      <c r="G1676" s="167">
        <v>4292.4399999999996</v>
      </c>
    </row>
    <row r="1677" spans="2:7" x14ac:dyDescent="0.2">
      <c r="B1677" s="352" t="s">
        <v>567</v>
      </c>
      <c r="C1677" s="353" t="s">
        <v>2</v>
      </c>
      <c r="D1677" s="354">
        <v>0.1467</v>
      </c>
      <c r="E1677" s="355"/>
      <c r="F1677" s="356">
        <v>2000</v>
      </c>
      <c r="G1677" s="217">
        <v>293.39999999999998</v>
      </c>
    </row>
    <row r="1678" spans="2:7" x14ac:dyDescent="0.2">
      <c r="B1678" s="352" t="s">
        <v>568</v>
      </c>
      <c r="C1678" s="353" t="s">
        <v>2</v>
      </c>
      <c r="D1678" s="357">
        <v>0.2094</v>
      </c>
      <c r="E1678" s="355"/>
      <c r="F1678" s="358">
        <v>2100</v>
      </c>
      <c r="G1678" s="217">
        <v>439.71</v>
      </c>
    </row>
    <row r="1679" spans="2:7" x14ac:dyDescent="0.2">
      <c r="B1679" s="352" t="s">
        <v>551</v>
      </c>
      <c r="C1679" s="353" t="s">
        <v>2</v>
      </c>
      <c r="D1679" s="359">
        <v>0.1467</v>
      </c>
      <c r="E1679" s="355"/>
      <c r="F1679" s="358">
        <v>1000</v>
      </c>
      <c r="G1679" s="217">
        <v>146.69999999999999</v>
      </c>
    </row>
    <row r="1680" spans="2:7" x14ac:dyDescent="0.2">
      <c r="B1680" s="352" t="s">
        <v>569</v>
      </c>
      <c r="C1680" s="353" t="s">
        <v>2</v>
      </c>
      <c r="D1680" s="359">
        <v>0.2445</v>
      </c>
      <c r="E1680" s="355"/>
      <c r="F1680" s="358">
        <v>3700</v>
      </c>
      <c r="G1680" s="217">
        <v>904.65</v>
      </c>
    </row>
    <row r="1681" spans="2:7" x14ac:dyDescent="0.2">
      <c r="B1681" s="352" t="s">
        <v>552</v>
      </c>
      <c r="C1681" s="353" t="s">
        <v>2</v>
      </c>
      <c r="D1681" s="360">
        <v>4.8899999999999999E-2</v>
      </c>
      <c r="E1681" s="355"/>
      <c r="F1681" s="358">
        <v>1800</v>
      </c>
      <c r="G1681" s="217">
        <v>88.02</v>
      </c>
    </row>
    <row r="1682" spans="2:7" x14ac:dyDescent="0.2">
      <c r="B1682" s="352" t="s">
        <v>570</v>
      </c>
      <c r="C1682" s="353" t="s">
        <v>2</v>
      </c>
      <c r="D1682" s="360">
        <v>9.7799999999999998E-2</v>
      </c>
      <c r="E1682" s="355"/>
      <c r="F1682" s="358">
        <v>1600</v>
      </c>
      <c r="G1682" s="217">
        <v>156.47999999999999</v>
      </c>
    </row>
    <row r="1683" spans="2:7" x14ac:dyDescent="0.2">
      <c r="B1683" s="352" t="s">
        <v>571</v>
      </c>
      <c r="C1683" s="353" t="s">
        <v>2</v>
      </c>
      <c r="D1683" s="357">
        <v>0.1467</v>
      </c>
      <c r="E1683" s="355"/>
      <c r="F1683" s="358">
        <v>1700</v>
      </c>
      <c r="G1683" s="217">
        <v>249.39</v>
      </c>
    </row>
    <row r="1684" spans="2:7" x14ac:dyDescent="0.2">
      <c r="B1684" s="157"/>
      <c r="C1684" s="158"/>
      <c r="D1684" s="156"/>
      <c r="E1684" s="156"/>
      <c r="F1684" s="159" t="s">
        <v>452</v>
      </c>
      <c r="G1684" s="173">
        <v>6570.79</v>
      </c>
    </row>
    <row r="1685" spans="2:7" x14ac:dyDescent="0.2">
      <c r="B1685" s="161" t="s">
        <v>453</v>
      </c>
      <c r="C1685" s="158"/>
      <c r="D1685" s="156"/>
      <c r="E1685" s="156"/>
      <c r="F1685" s="159"/>
      <c r="G1685" s="160"/>
    </row>
    <row r="1686" spans="2:7" x14ac:dyDescent="0.2">
      <c r="B1686" s="184" t="s">
        <v>454</v>
      </c>
      <c r="C1686" s="185" t="s">
        <v>114</v>
      </c>
      <c r="D1686" s="337">
        <v>7.0000000000000001E-3</v>
      </c>
      <c r="E1686" s="186"/>
      <c r="F1686" s="193">
        <v>121500</v>
      </c>
      <c r="G1686" s="315">
        <v>850.5</v>
      </c>
    </row>
    <row r="1687" spans="2:7" x14ac:dyDescent="0.2">
      <c r="B1687" s="291" t="s">
        <v>458</v>
      </c>
      <c r="C1687" s="240" t="s">
        <v>456</v>
      </c>
      <c r="D1687" s="328">
        <v>73891.13</v>
      </c>
      <c r="E1687" s="242"/>
      <c r="F1687" s="329"/>
      <c r="G1687" s="304" t="s">
        <v>465</v>
      </c>
    </row>
    <row r="1688" spans="2:7" x14ac:dyDescent="0.2">
      <c r="B1688" s="200" t="s">
        <v>455</v>
      </c>
      <c r="C1688" s="169" t="s">
        <v>456</v>
      </c>
      <c r="D1688" s="262">
        <v>73891.13</v>
      </c>
      <c r="E1688" s="170"/>
      <c r="F1688" s="330"/>
      <c r="G1688" s="182" t="s">
        <v>465</v>
      </c>
    </row>
    <row r="1689" spans="2:7" x14ac:dyDescent="0.2">
      <c r="B1689" s="180"/>
      <c r="C1689" s="169"/>
      <c r="D1689" s="181"/>
      <c r="E1689" s="170"/>
      <c r="F1689" s="171"/>
      <c r="G1689" s="182"/>
    </row>
    <row r="1690" spans="2:7" x14ac:dyDescent="0.2">
      <c r="B1690" s="157"/>
      <c r="C1690" s="158"/>
      <c r="D1690" s="156"/>
      <c r="E1690" s="156"/>
      <c r="F1690" s="159" t="s">
        <v>459</v>
      </c>
      <c r="G1690" s="183">
        <v>850.5</v>
      </c>
    </row>
    <row r="1691" spans="2:7" x14ac:dyDescent="0.2">
      <c r="B1691" s="157"/>
      <c r="C1691" s="158"/>
      <c r="D1691" s="156"/>
      <c r="E1691" s="156"/>
      <c r="F1691" s="159"/>
      <c r="G1691" s="160"/>
    </row>
    <row r="1692" spans="2:7" ht="17" thickBot="1" x14ac:dyDescent="0.25">
      <c r="B1692" s="206"/>
      <c r="C1692" s="207"/>
      <c r="D1692" s="208"/>
      <c r="E1692" s="209" t="s">
        <v>460</v>
      </c>
      <c r="F1692" s="210">
        <v>99924.25</v>
      </c>
      <c r="G1692" s="211">
        <v>73891</v>
      </c>
    </row>
    <row r="1693" spans="2:7" ht="17" thickTop="1" x14ac:dyDescent="0.2">
      <c r="B1693" s="212"/>
      <c r="C1693" s="213"/>
      <c r="D1693" s="212"/>
      <c r="E1693" s="212"/>
      <c r="F1693" s="212"/>
      <c r="G1693" s="212"/>
    </row>
    <row r="1694" spans="2:7" ht="17" thickBot="1" x14ac:dyDescent="0.25">
      <c r="B1694" s="212"/>
      <c r="C1694" s="213"/>
      <c r="D1694" s="212"/>
      <c r="E1694" s="212"/>
      <c r="F1694" s="212"/>
      <c r="G1694" s="212"/>
    </row>
    <row r="1695" spans="2:7" ht="17" thickTop="1" x14ac:dyDescent="0.2">
      <c r="B1695" s="537" t="s">
        <v>87</v>
      </c>
      <c r="C1695" s="538"/>
      <c r="D1695" s="538"/>
      <c r="E1695" s="538"/>
      <c r="F1695" s="148"/>
      <c r="G1695" s="149" t="s">
        <v>439</v>
      </c>
    </row>
    <row r="1696" spans="2:7" x14ac:dyDescent="0.2">
      <c r="B1696" s="539"/>
      <c r="C1696" s="540"/>
      <c r="D1696" s="540"/>
      <c r="E1696" s="540"/>
      <c r="F1696" s="150"/>
      <c r="G1696" s="151" t="s">
        <v>572</v>
      </c>
    </row>
    <row r="1697" spans="2:7" x14ac:dyDescent="0.2">
      <c r="B1697" s="152" t="s">
        <v>1</v>
      </c>
      <c r="C1697" s="153" t="s">
        <v>2</v>
      </c>
      <c r="D1697" s="153" t="s">
        <v>3</v>
      </c>
      <c r="E1697" s="153" t="s">
        <v>441</v>
      </c>
      <c r="F1697" s="154" t="s">
        <v>442</v>
      </c>
      <c r="G1697" s="155" t="s">
        <v>443</v>
      </c>
    </row>
    <row r="1698" spans="2:7" x14ac:dyDescent="0.2">
      <c r="B1698" s="157"/>
      <c r="C1698" s="158"/>
      <c r="D1698" s="156"/>
      <c r="E1698" s="156"/>
      <c r="F1698" s="159"/>
      <c r="G1698" s="160"/>
    </row>
    <row r="1699" spans="2:7" x14ac:dyDescent="0.2">
      <c r="B1699" s="161" t="s">
        <v>444</v>
      </c>
      <c r="C1699" s="158"/>
      <c r="D1699" s="156"/>
      <c r="E1699" s="156"/>
      <c r="F1699" s="159"/>
      <c r="G1699" s="160"/>
    </row>
    <row r="1700" spans="2:7" x14ac:dyDescent="0.2">
      <c r="B1700" s="184" t="s">
        <v>573</v>
      </c>
      <c r="C1700" s="163" t="s">
        <v>2</v>
      </c>
      <c r="D1700" s="164">
        <v>0.35</v>
      </c>
      <c r="E1700" s="165"/>
      <c r="F1700" s="166">
        <v>174928.81</v>
      </c>
      <c r="G1700" s="315">
        <v>61378.52</v>
      </c>
    </row>
    <row r="1701" spans="2:7" x14ac:dyDescent="0.2">
      <c r="B1701" s="180"/>
      <c r="C1701" s="185"/>
      <c r="D1701" s="181"/>
      <c r="E1701" s="186"/>
      <c r="F1701" s="222"/>
      <c r="G1701" s="182"/>
    </row>
    <row r="1702" spans="2:7" x14ac:dyDescent="0.2">
      <c r="B1702" s="157"/>
      <c r="C1702" s="158"/>
      <c r="D1702" s="156"/>
      <c r="E1702" s="156"/>
      <c r="F1702" s="159" t="s">
        <v>446</v>
      </c>
      <c r="G1702" s="183">
        <v>61378.52</v>
      </c>
    </row>
    <row r="1703" spans="2:7" x14ac:dyDescent="0.2">
      <c r="B1703" s="161" t="s">
        <v>447</v>
      </c>
      <c r="C1703" s="158"/>
      <c r="D1703" s="156"/>
      <c r="E1703" s="156"/>
      <c r="F1703" s="159"/>
      <c r="G1703" s="160"/>
    </row>
    <row r="1704" spans="2:7" x14ac:dyDescent="0.2">
      <c r="B1704" s="162" t="s">
        <v>448</v>
      </c>
      <c r="C1704" s="163" t="s">
        <v>2</v>
      </c>
      <c r="D1704" s="164">
        <v>1.75</v>
      </c>
      <c r="E1704" s="165" t="s">
        <v>542</v>
      </c>
      <c r="F1704" s="166">
        <v>1208.1199999999999</v>
      </c>
      <c r="G1704" s="167">
        <v>2119.5</v>
      </c>
    </row>
    <row r="1705" spans="2:7" x14ac:dyDescent="0.2">
      <c r="B1705" s="195"/>
      <c r="C1705" s="361"/>
      <c r="D1705" s="362"/>
      <c r="E1705" s="363"/>
      <c r="F1705" s="364"/>
      <c r="G1705" s="311"/>
    </row>
    <row r="1706" spans="2:7" x14ac:dyDescent="0.2">
      <c r="B1706" s="157"/>
      <c r="C1706" s="158"/>
      <c r="D1706" s="156"/>
      <c r="E1706" s="156"/>
      <c r="F1706" s="159" t="s">
        <v>449</v>
      </c>
      <c r="G1706" s="183">
        <v>2119.5</v>
      </c>
    </row>
    <row r="1707" spans="2:7" x14ac:dyDescent="0.2">
      <c r="B1707" s="161" t="s">
        <v>450</v>
      </c>
      <c r="C1707" s="158"/>
      <c r="D1707" s="156"/>
      <c r="E1707" s="156"/>
      <c r="F1707" s="159"/>
      <c r="G1707" s="160"/>
    </row>
    <row r="1708" spans="2:7" x14ac:dyDescent="0.2">
      <c r="B1708" s="184" t="s">
        <v>451</v>
      </c>
      <c r="C1708" s="185" t="s">
        <v>2</v>
      </c>
      <c r="D1708" s="262">
        <v>64208.54</v>
      </c>
      <c r="E1708" s="186"/>
      <c r="F1708" s="187">
        <v>0.02</v>
      </c>
      <c r="G1708" s="315">
        <v>1284.17</v>
      </c>
    </row>
    <row r="1709" spans="2:7" x14ac:dyDescent="0.2">
      <c r="B1709" s="180"/>
      <c r="C1709" s="185"/>
      <c r="D1709" s="181"/>
      <c r="E1709" s="186"/>
      <c r="F1709" s="222"/>
      <c r="G1709" s="182"/>
    </row>
    <row r="1710" spans="2:7" x14ac:dyDescent="0.2">
      <c r="B1710" s="157"/>
      <c r="C1710" s="158"/>
      <c r="D1710" s="156"/>
      <c r="E1710" s="156"/>
      <c r="F1710" s="159" t="s">
        <v>452</v>
      </c>
      <c r="G1710" s="183">
        <v>1284.17</v>
      </c>
    </row>
    <row r="1711" spans="2:7" x14ac:dyDescent="0.2">
      <c r="B1711" s="161" t="s">
        <v>453</v>
      </c>
      <c r="C1711" s="158"/>
      <c r="D1711" s="156"/>
      <c r="E1711" s="156"/>
      <c r="F1711" s="159"/>
      <c r="G1711" s="160"/>
    </row>
    <row r="1712" spans="2:7" x14ac:dyDescent="0.2">
      <c r="B1712" s="189" t="s">
        <v>454</v>
      </c>
      <c r="C1712" s="190" t="s">
        <v>2</v>
      </c>
      <c r="D1712" s="365">
        <v>6.0000000000000001E-3</v>
      </c>
      <c r="E1712" s="232"/>
      <c r="F1712" s="166">
        <v>121500</v>
      </c>
      <c r="G1712" s="304">
        <v>710.52</v>
      </c>
    </row>
    <row r="1713" spans="2:7" x14ac:dyDescent="0.2">
      <c r="B1713" s="239" t="s">
        <v>458</v>
      </c>
      <c r="C1713" s="240" t="s">
        <v>456</v>
      </c>
      <c r="D1713" s="366">
        <v>65492.71</v>
      </c>
      <c r="E1713" s="242"/>
      <c r="F1713" s="243"/>
      <c r="G1713" s="367" t="s">
        <v>465</v>
      </c>
    </row>
    <row r="1714" spans="2:7" x14ac:dyDescent="0.2">
      <c r="B1714" s="239" t="s">
        <v>455</v>
      </c>
      <c r="C1714" s="240" t="s">
        <v>456</v>
      </c>
      <c r="D1714" s="366">
        <v>65492.71</v>
      </c>
      <c r="E1714" s="242"/>
      <c r="F1714" s="243"/>
      <c r="G1714" s="304" t="s">
        <v>465</v>
      </c>
    </row>
    <row r="1715" spans="2:7" x14ac:dyDescent="0.2">
      <c r="B1715" s="236"/>
      <c r="C1715" s="185"/>
      <c r="D1715" s="181"/>
      <c r="E1715" s="186"/>
      <c r="F1715" s="222"/>
      <c r="G1715" s="315"/>
    </row>
    <row r="1716" spans="2:7" x14ac:dyDescent="0.2">
      <c r="B1716" s="157"/>
      <c r="C1716" s="158"/>
      <c r="D1716" s="156"/>
      <c r="E1716" s="156"/>
      <c r="F1716" s="159" t="s">
        <v>459</v>
      </c>
      <c r="G1716" s="183">
        <v>710.52</v>
      </c>
    </row>
    <row r="1717" spans="2:7" x14ac:dyDescent="0.2">
      <c r="B1717" s="157"/>
      <c r="C1717" s="158"/>
      <c r="D1717" s="156"/>
      <c r="E1717" s="156"/>
      <c r="F1717" s="159"/>
      <c r="G1717" s="160"/>
    </row>
    <row r="1718" spans="2:7" ht="17" thickBot="1" x14ac:dyDescent="0.25">
      <c r="B1718" s="206"/>
      <c r="C1718" s="207"/>
      <c r="D1718" s="208"/>
      <c r="E1718" s="209" t="s">
        <v>460</v>
      </c>
      <c r="F1718" s="210">
        <v>4449993.8</v>
      </c>
      <c r="G1718" s="211">
        <v>65493</v>
      </c>
    </row>
    <row r="1719" spans="2:7" ht="17" thickTop="1" x14ac:dyDescent="0.2">
      <c r="B1719" s="212"/>
      <c r="C1719" s="213"/>
      <c r="D1719" s="212"/>
      <c r="E1719" s="212"/>
      <c r="F1719" s="212"/>
      <c r="G1719" s="212"/>
    </row>
    <row r="1720" spans="2:7" x14ac:dyDescent="0.2">
      <c r="B1720" s="212"/>
      <c r="C1720" s="213"/>
      <c r="D1720" s="212"/>
      <c r="E1720" s="212"/>
      <c r="F1720" s="212"/>
      <c r="G1720" s="212"/>
    </row>
    <row r="1721" spans="2:7" ht="17" thickBot="1" x14ac:dyDescent="0.25">
      <c r="B1721" s="212"/>
      <c r="C1721" s="213"/>
      <c r="D1721" s="212"/>
      <c r="E1721" s="212"/>
      <c r="F1721" s="212"/>
      <c r="G1721" s="212"/>
    </row>
    <row r="1722" spans="2:7" ht="17" thickTop="1" x14ac:dyDescent="0.2">
      <c r="B1722" s="537" t="s">
        <v>88</v>
      </c>
      <c r="C1722" s="538"/>
      <c r="D1722" s="538"/>
      <c r="E1722" s="538"/>
      <c r="F1722" s="148"/>
      <c r="G1722" s="149" t="s">
        <v>439</v>
      </c>
    </row>
    <row r="1723" spans="2:7" x14ac:dyDescent="0.2">
      <c r="B1723" s="539"/>
      <c r="C1723" s="540"/>
      <c r="D1723" s="540"/>
      <c r="E1723" s="540"/>
      <c r="F1723" s="150"/>
      <c r="G1723" s="151" t="s">
        <v>574</v>
      </c>
    </row>
    <row r="1724" spans="2:7" x14ac:dyDescent="0.2">
      <c r="B1724" s="152" t="s">
        <v>1</v>
      </c>
      <c r="C1724" s="153" t="s">
        <v>2</v>
      </c>
      <c r="D1724" s="153" t="s">
        <v>3</v>
      </c>
      <c r="E1724" s="153" t="s">
        <v>441</v>
      </c>
      <c r="F1724" s="154" t="s">
        <v>442</v>
      </c>
      <c r="G1724" s="155" t="s">
        <v>443</v>
      </c>
    </row>
    <row r="1725" spans="2:7" x14ac:dyDescent="0.2">
      <c r="B1725" s="157"/>
      <c r="C1725" s="158"/>
      <c r="D1725" s="156"/>
      <c r="E1725" s="156"/>
      <c r="F1725" s="159"/>
      <c r="G1725" s="160"/>
    </row>
    <row r="1726" spans="2:7" x14ac:dyDescent="0.2">
      <c r="B1726" s="161" t="s">
        <v>444</v>
      </c>
      <c r="C1726" s="158"/>
      <c r="D1726" s="156"/>
      <c r="E1726" s="156"/>
      <c r="F1726" s="159"/>
      <c r="G1726" s="160"/>
    </row>
    <row r="1727" spans="2:7" x14ac:dyDescent="0.2">
      <c r="B1727" s="184" t="s">
        <v>573</v>
      </c>
      <c r="C1727" s="163" t="s">
        <v>2</v>
      </c>
      <c r="D1727" s="164">
        <v>0.28999999999999998</v>
      </c>
      <c r="E1727" s="165"/>
      <c r="F1727" s="166">
        <v>174928.81</v>
      </c>
      <c r="G1727" s="315">
        <v>51316.47</v>
      </c>
    </row>
    <row r="1728" spans="2:7" x14ac:dyDescent="0.2">
      <c r="B1728" s="180"/>
      <c r="C1728" s="185"/>
      <c r="D1728" s="181"/>
      <c r="E1728" s="186"/>
      <c r="F1728" s="222"/>
      <c r="G1728" s="182"/>
    </row>
    <row r="1729" spans="2:7" x14ac:dyDescent="0.2">
      <c r="B1729" s="157"/>
      <c r="C1729" s="158"/>
      <c r="D1729" s="156"/>
      <c r="E1729" s="156"/>
      <c r="F1729" s="159" t="s">
        <v>446</v>
      </c>
      <c r="G1729" s="183">
        <v>51316.47</v>
      </c>
    </row>
    <row r="1730" spans="2:7" x14ac:dyDescent="0.2">
      <c r="B1730" s="161" t="s">
        <v>447</v>
      </c>
      <c r="C1730" s="158"/>
      <c r="D1730" s="156"/>
      <c r="E1730" s="156"/>
      <c r="F1730" s="159"/>
      <c r="G1730" s="160"/>
    </row>
    <row r="1731" spans="2:7" x14ac:dyDescent="0.2">
      <c r="B1731" s="162" t="s">
        <v>448</v>
      </c>
      <c r="C1731" s="163" t="s">
        <v>2</v>
      </c>
      <c r="D1731" s="164">
        <v>1.75</v>
      </c>
      <c r="E1731" s="165" t="s">
        <v>542</v>
      </c>
      <c r="F1731" s="166">
        <v>1208.1199999999999</v>
      </c>
      <c r="G1731" s="167">
        <v>2119.5</v>
      </c>
    </row>
    <row r="1732" spans="2:7" x14ac:dyDescent="0.2">
      <c r="B1732" s="195"/>
      <c r="C1732" s="361"/>
      <c r="D1732" s="362"/>
      <c r="E1732" s="363"/>
      <c r="F1732" s="364"/>
      <c r="G1732" s="311"/>
    </row>
    <row r="1733" spans="2:7" x14ac:dyDescent="0.2">
      <c r="B1733" s="157"/>
      <c r="C1733" s="158"/>
      <c r="D1733" s="156"/>
      <c r="E1733" s="156"/>
      <c r="F1733" s="159" t="s">
        <v>449</v>
      </c>
      <c r="G1733" s="183">
        <v>2119.5</v>
      </c>
    </row>
    <row r="1734" spans="2:7" x14ac:dyDescent="0.2">
      <c r="B1734" s="161" t="s">
        <v>450</v>
      </c>
      <c r="C1734" s="158"/>
      <c r="D1734" s="156"/>
      <c r="E1734" s="156"/>
      <c r="F1734" s="159"/>
      <c r="G1734" s="160"/>
    </row>
    <row r="1735" spans="2:7" x14ac:dyDescent="0.2">
      <c r="B1735" s="184" t="s">
        <v>451</v>
      </c>
      <c r="C1735" s="185" t="s">
        <v>2</v>
      </c>
      <c r="D1735" s="262">
        <v>54146.49</v>
      </c>
      <c r="E1735" s="186"/>
      <c r="F1735" s="187">
        <v>0.02</v>
      </c>
      <c r="G1735" s="315">
        <v>1082.92</v>
      </c>
    </row>
    <row r="1736" spans="2:7" x14ac:dyDescent="0.2">
      <c r="B1736" s="180"/>
      <c r="C1736" s="185"/>
      <c r="D1736" s="181"/>
      <c r="E1736" s="186"/>
      <c r="F1736" s="222"/>
      <c r="G1736" s="182"/>
    </row>
    <row r="1737" spans="2:7" x14ac:dyDescent="0.2">
      <c r="B1737" s="157"/>
      <c r="C1737" s="158"/>
      <c r="D1737" s="156"/>
      <c r="E1737" s="156"/>
      <c r="F1737" s="159" t="s">
        <v>452</v>
      </c>
      <c r="G1737" s="183">
        <v>1082.92</v>
      </c>
    </row>
    <row r="1738" spans="2:7" x14ac:dyDescent="0.2">
      <c r="B1738" s="161" t="s">
        <v>453</v>
      </c>
      <c r="C1738" s="158"/>
      <c r="D1738" s="156"/>
      <c r="E1738" s="156"/>
      <c r="F1738" s="159"/>
      <c r="G1738" s="160"/>
    </row>
    <row r="1739" spans="2:7" x14ac:dyDescent="0.2">
      <c r="B1739" s="189" t="s">
        <v>454</v>
      </c>
      <c r="C1739" s="190" t="s">
        <v>2</v>
      </c>
      <c r="D1739" s="365">
        <v>6.0000000000000001E-3</v>
      </c>
      <c r="E1739" s="232"/>
      <c r="F1739" s="166">
        <v>121500</v>
      </c>
      <c r="G1739" s="304">
        <v>710.52</v>
      </c>
    </row>
    <row r="1740" spans="2:7" x14ac:dyDescent="0.2">
      <c r="B1740" s="239" t="s">
        <v>458</v>
      </c>
      <c r="C1740" s="240" t="s">
        <v>456</v>
      </c>
      <c r="D1740" s="366">
        <v>55229.41</v>
      </c>
      <c r="E1740" s="242"/>
      <c r="F1740" s="243"/>
      <c r="G1740" s="367" t="s">
        <v>465</v>
      </c>
    </row>
    <row r="1741" spans="2:7" x14ac:dyDescent="0.2">
      <c r="B1741" s="239" t="s">
        <v>455</v>
      </c>
      <c r="C1741" s="240" t="s">
        <v>456</v>
      </c>
      <c r="D1741" s="366">
        <v>55229.41</v>
      </c>
      <c r="E1741" s="242"/>
      <c r="F1741" s="243"/>
      <c r="G1741" s="304" t="s">
        <v>465</v>
      </c>
    </row>
    <row r="1742" spans="2:7" x14ac:dyDescent="0.2">
      <c r="B1742" s="236"/>
      <c r="C1742" s="185"/>
      <c r="D1742" s="181"/>
      <c r="E1742" s="186"/>
      <c r="F1742" s="222"/>
      <c r="G1742" s="315"/>
    </row>
    <row r="1743" spans="2:7" x14ac:dyDescent="0.2">
      <c r="B1743" s="157"/>
      <c r="C1743" s="158"/>
      <c r="D1743" s="156"/>
      <c r="E1743" s="156"/>
      <c r="F1743" s="159" t="s">
        <v>459</v>
      </c>
      <c r="G1743" s="183">
        <v>710.52</v>
      </c>
    </row>
    <row r="1744" spans="2:7" x14ac:dyDescent="0.2">
      <c r="B1744" s="157"/>
      <c r="C1744" s="158"/>
      <c r="D1744" s="156"/>
      <c r="E1744" s="156"/>
      <c r="F1744" s="159"/>
      <c r="G1744" s="160"/>
    </row>
    <row r="1745" spans="2:7" ht="17" thickBot="1" x14ac:dyDescent="0.25">
      <c r="B1745" s="206"/>
      <c r="C1745" s="207"/>
      <c r="D1745" s="208"/>
      <c r="E1745" s="209" t="s">
        <v>460</v>
      </c>
      <c r="F1745" s="210">
        <v>15195.9</v>
      </c>
      <c r="G1745" s="211">
        <v>55229</v>
      </c>
    </row>
    <row r="1746" spans="2:7" ht="17" thickTop="1" x14ac:dyDescent="0.2">
      <c r="B1746" s="212"/>
      <c r="C1746" s="213"/>
      <c r="D1746" s="212"/>
      <c r="E1746" s="212"/>
      <c r="F1746" s="212"/>
      <c r="G1746" s="212"/>
    </row>
    <row r="1747" spans="2:7" x14ac:dyDescent="0.2">
      <c r="B1747" s="212"/>
      <c r="C1747" s="213"/>
      <c r="D1747" s="212"/>
      <c r="E1747" s="212"/>
      <c r="F1747" s="212"/>
      <c r="G1747" s="212"/>
    </row>
    <row r="1748" spans="2:7" ht="17" thickBot="1" x14ac:dyDescent="0.25">
      <c r="B1748" s="212"/>
      <c r="C1748" s="213"/>
      <c r="D1748" s="212"/>
      <c r="E1748" s="212"/>
      <c r="F1748" s="212"/>
      <c r="G1748" s="212"/>
    </row>
    <row r="1749" spans="2:7" ht="17" thickTop="1" x14ac:dyDescent="0.2">
      <c r="B1749" s="537" t="s">
        <v>89</v>
      </c>
      <c r="C1749" s="538"/>
      <c r="D1749" s="538"/>
      <c r="E1749" s="538"/>
      <c r="F1749" s="148"/>
      <c r="G1749" s="149" t="s">
        <v>439</v>
      </c>
    </row>
    <row r="1750" spans="2:7" x14ac:dyDescent="0.2">
      <c r="B1750" s="539"/>
      <c r="C1750" s="540"/>
      <c r="D1750" s="540"/>
      <c r="E1750" s="540"/>
      <c r="F1750" s="150"/>
      <c r="G1750" s="151" t="s">
        <v>575</v>
      </c>
    </row>
    <row r="1751" spans="2:7" x14ac:dyDescent="0.2">
      <c r="B1751" s="152" t="s">
        <v>1</v>
      </c>
      <c r="C1751" s="153" t="s">
        <v>2</v>
      </c>
      <c r="D1751" s="153" t="s">
        <v>3</v>
      </c>
      <c r="E1751" s="153" t="s">
        <v>441</v>
      </c>
      <c r="F1751" s="154" t="s">
        <v>442</v>
      </c>
      <c r="G1751" s="155" t="s">
        <v>443</v>
      </c>
    </row>
    <row r="1752" spans="2:7" x14ac:dyDescent="0.2">
      <c r="B1752" s="157"/>
      <c r="C1752" s="158"/>
      <c r="D1752" s="156"/>
      <c r="E1752" s="156"/>
      <c r="F1752" s="159"/>
      <c r="G1752" s="160"/>
    </row>
    <row r="1753" spans="2:7" x14ac:dyDescent="0.2">
      <c r="B1753" s="161" t="s">
        <v>444</v>
      </c>
      <c r="C1753" s="158"/>
      <c r="D1753" s="156"/>
      <c r="E1753" s="156"/>
      <c r="F1753" s="159"/>
      <c r="G1753" s="160"/>
    </row>
    <row r="1754" spans="2:7" x14ac:dyDescent="0.2">
      <c r="B1754" s="184" t="s">
        <v>573</v>
      </c>
      <c r="C1754" s="163" t="s">
        <v>2</v>
      </c>
      <c r="D1754" s="164">
        <v>0.24</v>
      </c>
      <c r="E1754" s="165"/>
      <c r="F1754" s="166">
        <v>174928.81</v>
      </c>
      <c r="G1754" s="315">
        <v>41254.42</v>
      </c>
    </row>
    <row r="1755" spans="2:7" x14ac:dyDescent="0.2">
      <c r="B1755" s="180"/>
      <c r="C1755" s="185"/>
      <c r="D1755" s="181"/>
      <c r="E1755" s="186"/>
      <c r="F1755" s="222"/>
      <c r="G1755" s="182"/>
    </row>
    <row r="1756" spans="2:7" x14ac:dyDescent="0.2">
      <c r="B1756" s="157"/>
      <c r="C1756" s="158"/>
      <c r="D1756" s="156"/>
      <c r="E1756" s="156"/>
      <c r="F1756" s="159" t="s">
        <v>446</v>
      </c>
      <c r="G1756" s="183">
        <v>41254.42</v>
      </c>
    </row>
    <row r="1757" spans="2:7" x14ac:dyDescent="0.2">
      <c r="B1757" s="161" t="s">
        <v>447</v>
      </c>
      <c r="C1757" s="158"/>
      <c r="D1757" s="156"/>
      <c r="E1757" s="156"/>
      <c r="F1757" s="159"/>
      <c r="G1757" s="160"/>
    </row>
    <row r="1758" spans="2:7" x14ac:dyDescent="0.2">
      <c r="B1758" s="162" t="s">
        <v>448</v>
      </c>
      <c r="C1758" s="163" t="s">
        <v>2</v>
      </c>
      <c r="D1758" s="164">
        <v>1.75</v>
      </c>
      <c r="E1758" s="165" t="s">
        <v>542</v>
      </c>
      <c r="F1758" s="166">
        <v>1208.1199999999999</v>
      </c>
      <c r="G1758" s="167">
        <v>2119.5</v>
      </c>
    </row>
    <row r="1759" spans="2:7" x14ac:dyDescent="0.2">
      <c r="B1759" s="195"/>
      <c r="C1759" s="361"/>
      <c r="D1759" s="362"/>
      <c r="E1759" s="363"/>
      <c r="F1759" s="364"/>
      <c r="G1759" s="311"/>
    </row>
    <row r="1760" spans="2:7" x14ac:dyDescent="0.2">
      <c r="B1760" s="157"/>
      <c r="C1760" s="158"/>
      <c r="D1760" s="156"/>
      <c r="E1760" s="156"/>
      <c r="F1760" s="159" t="s">
        <v>449</v>
      </c>
      <c r="G1760" s="183">
        <v>2119.5</v>
      </c>
    </row>
    <row r="1761" spans="2:7" x14ac:dyDescent="0.2">
      <c r="B1761" s="161" t="s">
        <v>450</v>
      </c>
      <c r="C1761" s="158"/>
      <c r="D1761" s="156"/>
      <c r="E1761" s="156"/>
      <c r="F1761" s="159"/>
      <c r="G1761" s="160"/>
    </row>
    <row r="1762" spans="2:7" x14ac:dyDescent="0.2">
      <c r="B1762" s="184" t="s">
        <v>451</v>
      </c>
      <c r="C1762" s="185" t="s">
        <v>2</v>
      </c>
      <c r="D1762" s="262">
        <v>44084.44</v>
      </c>
      <c r="E1762" s="186"/>
      <c r="F1762" s="187">
        <v>0.02</v>
      </c>
      <c r="G1762" s="315">
        <v>881.68</v>
      </c>
    </row>
    <row r="1763" spans="2:7" x14ac:dyDescent="0.2">
      <c r="B1763" s="180"/>
      <c r="C1763" s="185"/>
      <c r="D1763" s="181"/>
      <c r="E1763" s="186"/>
      <c r="F1763" s="222"/>
      <c r="G1763" s="182"/>
    </row>
    <row r="1764" spans="2:7" x14ac:dyDescent="0.2">
      <c r="B1764" s="157"/>
      <c r="C1764" s="158"/>
      <c r="D1764" s="156"/>
      <c r="E1764" s="156"/>
      <c r="F1764" s="159" t="s">
        <v>452</v>
      </c>
      <c r="G1764" s="183">
        <v>881.68</v>
      </c>
    </row>
    <row r="1765" spans="2:7" x14ac:dyDescent="0.2">
      <c r="B1765" s="161" t="s">
        <v>453</v>
      </c>
      <c r="C1765" s="158"/>
      <c r="D1765" s="156"/>
      <c r="E1765" s="156"/>
      <c r="F1765" s="159"/>
      <c r="G1765" s="160"/>
    </row>
    <row r="1766" spans="2:7" x14ac:dyDescent="0.2">
      <c r="B1766" s="189" t="s">
        <v>454</v>
      </c>
      <c r="C1766" s="190" t="s">
        <v>2</v>
      </c>
      <c r="D1766" s="365">
        <v>6.0000000000000001E-3</v>
      </c>
      <c r="E1766" s="232"/>
      <c r="F1766" s="166">
        <v>121500</v>
      </c>
      <c r="G1766" s="304">
        <v>710.52</v>
      </c>
    </row>
    <row r="1767" spans="2:7" x14ac:dyDescent="0.2">
      <c r="B1767" s="239" t="s">
        <v>458</v>
      </c>
      <c r="C1767" s="240" t="s">
        <v>456</v>
      </c>
      <c r="D1767" s="366">
        <v>44966.12</v>
      </c>
      <c r="E1767" s="242"/>
      <c r="F1767" s="243"/>
      <c r="G1767" s="367" t="s">
        <v>465</v>
      </c>
    </row>
    <row r="1768" spans="2:7" x14ac:dyDescent="0.2">
      <c r="B1768" s="239" t="s">
        <v>455</v>
      </c>
      <c r="C1768" s="240" t="s">
        <v>456</v>
      </c>
      <c r="D1768" s="366">
        <v>44966.12</v>
      </c>
      <c r="E1768" s="242"/>
      <c r="F1768" s="243"/>
      <c r="G1768" s="304" t="s">
        <v>465</v>
      </c>
    </row>
    <row r="1769" spans="2:7" x14ac:dyDescent="0.2">
      <c r="B1769" s="236"/>
      <c r="C1769" s="185"/>
      <c r="D1769" s="181"/>
      <c r="E1769" s="186"/>
      <c r="F1769" s="222"/>
      <c r="G1769" s="315"/>
    </row>
    <row r="1770" spans="2:7" x14ac:dyDescent="0.2">
      <c r="B1770" s="157"/>
      <c r="C1770" s="158"/>
      <c r="D1770" s="156"/>
      <c r="E1770" s="156"/>
      <c r="F1770" s="159" t="s">
        <v>459</v>
      </c>
      <c r="G1770" s="183">
        <v>710.52</v>
      </c>
    </row>
    <row r="1771" spans="2:7" x14ac:dyDescent="0.2">
      <c r="B1771" s="157"/>
      <c r="C1771" s="158"/>
      <c r="D1771" s="156"/>
      <c r="E1771" s="156"/>
      <c r="F1771" s="159"/>
      <c r="G1771" s="160"/>
    </row>
    <row r="1772" spans="2:7" ht="17" thickBot="1" x14ac:dyDescent="0.25">
      <c r="B1772" s="206"/>
      <c r="C1772" s="207"/>
      <c r="D1772" s="208"/>
      <c r="E1772" s="209" t="s">
        <v>460</v>
      </c>
      <c r="F1772" s="210">
        <v>3474242.93</v>
      </c>
      <c r="G1772" s="211">
        <v>44966</v>
      </c>
    </row>
    <row r="1773" spans="2:7" ht="17" thickTop="1" x14ac:dyDescent="0.2">
      <c r="B1773" s="212"/>
      <c r="C1773" s="213"/>
      <c r="D1773" s="212"/>
      <c r="E1773" s="212"/>
      <c r="F1773" s="212"/>
      <c r="G1773" s="212"/>
    </row>
    <row r="1774" spans="2:7" x14ac:dyDescent="0.2">
      <c r="B1774" s="212"/>
      <c r="C1774" s="213"/>
      <c r="D1774" s="212"/>
      <c r="E1774" s="212"/>
      <c r="F1774" s="212"/>
      <c r="G1774" s="212"/>
    </row>
    <row r="1775" spans="2:7" ht="17" thickBot="1" x14ac:dyDescent="0.25">
      <c r="B1775" s="212"/>
      <c r="C1775" s="213"/>
      <c r="D1775" s="212"/>
      <c r="E1775" s="212"/>
      <c r="F1775" s="212"/>
      <c r="G1775" s="212"/>
    </row>
    <row r="1776" spans="2:7" ht="17" thickTop="1" x14ac:dyDescent="0.2">
      <c r="B1776" s="537" t="s">
        <v>90</v>
      </c>
      <c r="C1776" s="538"/>
      <c r="D1776" s="538"/>
      <c r="E1776" s="538"/>
      <c r="F1776" s="148"/>
      <c r="G1776" s="149" t="s">
        <v>439</v>
      </c>
    </row>
    <row r="1777" spans="2:7" x14ac:dyDescent="0.2">
      <c r="B1777" s="539"/>
      <c r="C1777" s="540"/>
      <c r="D1777" s="540"/>
      <c r="E1777" s="540"/>
      <c r="F1777" s="150"/>
      <c r="G1777" s="151" t="s">
        <v>576</v>
      </c>
    </row>
    <row r="1778" spans="2:7" x14ac:dyDescent="0.2">
      <c r="B1778" s="152" t="s">
        <v>1</v>
      </c>
      <c r="C1778" s="153" t="s">
        <v>2</v>
      </c>
      <c r="D1778" s="153" t="s">
        <v>3</v>
      </c>
      <c r="E1778" s="153" t="s">
        <v>441</v>
      </c>
      <c r="F1778" s="154" t="s">
        <v>442</v>
      </c>
      <c r="G1778" s="155" t="s">
        <v>443</v>
      </c>
    </row>
    <row r="1779" spans="2:7" x14ac:dyDescent="0.2">
      <c r="B1779" s="157"/>
      <c r="C1779" s="158"/>
      <c r="D1779" s="156"/>
      <c r="E1779" s="156"/>
      <c r="F1779" s="159"/>
      <c r="G1779" s="160"/>
    </row>
    <row r="1780" spans="2:7" x14ac:dyDescent="0.2">
      <c r="B1780" s="161" t="s">
        <v>444</v>
      </c>
      <c r="C1780" s="158"/>
      <c r="D1780" s="156"/>
      <c r="E1780" s="156"/>
      <c r="F1780" s="159"/>
      <c r="G1780" s="160"/>
    </row>
    <row r="1781" spans="2:7" x14ac:dyDescent="0.2">
      <c r="B1781" s="184" t="s">
        <v>573</v>
      </c>
      <c r="C1781" s="163" t="s">
        <v>2</v>
      </c>
      <c r="D1781" s="164">
        <v>0.18</v>
      </c>
      <c r="E1781" s="165"/>
      <c r="F1781" s="166">
        <v>174928.81</v>
      </c>
      <c r="G1781" s="315">
        <v>31192.36</v>
      </c>
    </row>
    <row r="1782" spans="2:7" x14ac:dyDescent="0.2">
      <c r="B1782" s="180"/>
      <c r="C1782" s="185"/>
      <c r="D1782" s="181"/>
      <c r="E1782" s="186"/>
      <c r="F1782" s="222"/>
      <c r="G1782" s="182"/>
    </row>
    <row r="1783" spans="2:7" x14ac:dyDescent="0.2">
      <c r="B1783" s="157"/>
      <c r="C1783" s="158"/>
      <c r="D1783" s="156"/>
      <c r="E1783" s="156"/>
      <c r="F1783" s="159" t="s">
        <v>446</v>
      </c>
      <c r="G1783" s="183">
        <v>31192.36</v>
      </c>
    </row>
    <row r="1784" spans="2:7" x14ac:dyDescent="0.2">
      <c r="B1784" s="161" t="s">
        <v>447</v>
      </c>
      <c r="C1784" s="158"/>
      <c r="D1784" s="156"/>
      <c r="E1784" s="156"/>
      <c r="F1784" s="159"/>
      <c r="G1784" s="160"/>
    </row>
    <row r="1785" spans="2:7" x14ac:dyDescent="0.2">
      <c r="B1785" s="162" t="s">
        <v>448</v>
      </c>
      <c r="C1785" s="163" t="s">
        <v>2</v>
      </c>
      <c r="D1785" s="164">
        <v>1.75</v>
      </c>
      <c r="E1785" s="165" t="s">
        <v>542</v>
      </c>
      <c r="F1785" s="166">
        <v>1208.1199999999999</v>
      </c>
      <c r="G1785" s="167">
        <v>2119.5</v>
      </c>
    </row>
    <row r="1786" spans="2:7" x14ac:dyDescent="0.2">
      <c r="B1786" s="195"/>
      <c r="C1786" s="361"/>
      <c r="D1786" s="362"/>
      <c r="E1786" s="363"/>
      <c r="F1786" s="364"/>
      <c r="G1786" s="311"/>
    </row>
    <row r="1787" spans="2:7" x14ac:dyDescent="0.2">
      <c r="B1787" s="157"/>
      <c r="C1787" s="158"/>
      <c r="D1787" s="156"/>
      <c r="E1787" s="156"/>
      <c r="F1787" s="159" t="s">
        <v>449</v>
      </c>
      <c r="G1787" s="183">
        <v>2119.5</v>
      </c>
    </row>
    <row r="1788" spans="2:7" x14ac:dyDescent="0.2">
      <c r="B1788" s="161" t="s">
        <v>450</v>
      </c>
      <c r="C1788" s="158"/>
      <c r="D1788" s="156"/>
      <c r="E1788" s="156"/>
      <c r="F1788" s="159"/>
      <c r="G1788" s="160"/>
    </row>
    <row r="1789" spans="2:7" x14ac:dyDescent="0.2">
      <c r="B1789" s="184" t="s">
        <v>451</v>
      </c>
      <c r="C1789" s="185" t="s">
        <v>2</v>
      </c>
      <c r="D1789" s="262">
        <v>34022.379999999997</v>
      </c>
      <c r="E1789" s="186"/>
      <c r="F1789" s="187">
        <v>0.02</v>
      </c>
      <c r="G1789" s="315">
        <v>680.44</v>
      </c>
    </row>
    <row r="1790" spans="2:7" x14ac:dyDescent="0.2">
      <c r="B1790" s="180"/>
      <c r="C1790" s="185"/>
      <c r="D1790" s="181"/>
      <c r="E1790" s="186"/>
      <c r="F1790" s="222"/>
      <c r="G1790" s="182"/>
    </row>
    <row r="1791" spans="2:7" x14ac:dyDescent="0.2">
      <c r="B1791" s="157"/>
      <c r="C1791" s="158"/>
      <c r="D1791" s="156"/>
      <c r="E1791" s="156"/>
      <c r="F1791" s="159" t="s">
        <v>452</v>
      </c>
      <c r="G1791" s="183">
        <v>680.44</v>
      </c>
    </row>
    <row r="1792" spans="2:7" x14ac:dyDescent="0.2">
      <c r="B1792" s="161" t="s">
        <v>453</v>
      </c>
      <c r="C1792" s="158"/>
      <c r="D1792" s="156"/>
      <c r="E1792" s="156"/>
      <c r="F1792" s="159"/>
      <c r="G1792" s="160"/>
    </row>
    <row r="1793" spans="2:7" x14ac:dyDescent="0.2">
      <c r="B1793" s="189" t="s">
        <v>454</v>
      </c>
      <c r="C1793" s="190" t="s">
        <v>2</v>
      </c>
      <c r="D1793" s="365">
        <v>6.0000000000000001E-3</v>
      </c>
      <c r="E1793" s="232"/>
      <c r="F1793" s="166">
        <v>121500</v>
      </c>
      <c r="G1793" s="304">
        <v>710.52</v>
      </c>
    </row>
    <row r="1794" spans="2:7" x14ac:dyDescent="0.2">
      <c r="B1794" s="239" t="s">
        <v>458</v>
      </c>
      <c r="C1794" s="240" t="s">
        <v>456</v>
      </c>
      <c r="D1794" s="366">
        <v>34702.82</v>
      </c>
      <c r="E1794" s="242"/>
      <c r="F1794" s="243"/>
      <c r="G1794" s="367" t="s">
        <v>465</v>
      </c>
    </row>
    <row r="1795" spans="2:7" x14ac:dyDescent="0.2">
      <c r="B1795" s="239" t="s">
        <v>455</v>
      </c>
      <c r="C1795" s="240" t="s">
        <v>456</v>
      </c>
      <c r="D1795" s="366">
        <v>34702.82</v>
      </c>
      <c r="E1795" s="242"/>
      <c r="F1795" s="243"/>
      <c r="G1795" s="304" t="s">
        <v>465</v>
      </c>
    </row>
    <row r="1796" spans="2:7" x14ac:dyDescent="0.2">
      <c r="B1796" s="236"/>
      <c r="C1796" s="185"/>
      <c r="D1796" s="181"/>
      <c r="E1796" s="186"/>
      <c r="F1796" s="222"/>
      <c r="G1796" s="315"/>
    </row>
    <row r="1797" spans="2:7" x14ac:dyDescent="0.2">
      <c r="B1797" s="157"/>
      <c r="C1797" s="158"/>
      <c r="D1797" s="156"/>
      <c r="E1797" s="156"/>
      <c r="F1797" s="159" t="s">
        <v>459</v>
      </c>
      <c r="G1797" s="183">
        <v>710.52</v>
      </c>
    </row>
    <row r="1798" spans="2:7" x14ac:dyDescent="0.2">
      <c r="B1798" s="157"/>
      <c r="C1798" s="158"/>
      <c r="D1798" s="156"/>
      <c r="E1798" s="156"/>
      <c r="F1798" s="159"/>
      <c r="G1798" s="160"/>
    </row>
    <row r="1799" spans="2:7" ht="17" thickBot="1" x14ac:dyDescent="0.25">
      <c r="B1799" s="206"/>
      <c r="C1799" s="207"/>
      <c r="D1799" s="208"/>
      <c r="E1799" s="209" t="s">
        <v>460</v>
      </c>
      <c r="F1799" s="210">
        <v>11397.22</v>
      </c>
      <c r="G1799" s="211">
        <v>34703</v>
      </c>
    </row>
    <row r="1800" spans="2:7" ht="17" thickTop="1" x14ac:dyDescent="0.2">
      <c r="B1800" s="212"/>
      <c r="C1800" s="213"/>
      <c r="D1800" s="212"/>
      <c r="E1800" s="212"/>
      <c r="F1800" s="212"/>
      <c r="G1800" s="212"/>
    </row>
    <row r="1801" spans="2:7" ht="17" thickBot="1" x14ac:dyDescent="0.25">
      <c r="B1801" s="212"/>
      <c r="C1801" s="213"/>
      <c r="D1801" s="212"/>
      <c r="E1801" s="212"/>
      <c r="F1801" s="212"/>
      <c r="G1801" s="212"/>
    </row>
    <row r="1802" spans="2:7" ht="17" thickTop="1" x14ac:dyDescent="0.2">
      <c r="B1802" s="537" t="s">
        <v>93</v>
      </c>
      <c r="C1802" s="538"/>
      <c r="D1802" s="538"/>
      <c r="E1802" s="538"/>
      <c r="F1802" s="148"/>
      <c r="G1802" s="149" t="s">
        <v>439</v>
      </c>
    </row>
    <row r="1803" spans="2:7" x14ac:dyDescent="0.2">
      <c r="B1803" s="539"/>
      <c r="C1803" s="540"/>
      <c r="D1803" s="540"/>
      <c r="E1803" s="540"/>
      <c r="F1803" s="150"/>
      <c r="G1803" s="151" t="s">
        <v>577</v>
      </c>
    </row>
    <row r="1804" spans="2:7" x14ac:dyDescent="0.2">
      <c r="B1804" s="152" t="s">
        <v>1</v>
      </c>
      <c r="C1804" s="153" t="s">
        <v>2</v>
      </c>
      <c r="D1804" s="153" t="s">
        <v>3</v>
      </c>
      <c r="E1804" s="153" t="s">
        <v>441</v>
      </c>
      <c r="F1804" s="154" t="s">
        <v>442</v>
      </c>
      <c r="G1804" s="155" t="s">
        <v>443</v>
      </c>
    </row>
    <row r="1805" spans="2:7" x14ac:dyDescent="0.2">
      <c r="B1805" s="157"/>
      <c r="C1805" s="158"/>
      <c r="D1805" s="156"/>
      <c r="E1805" s="156"/>
      <c r="F1805" s="159"/>
      <c r="G1805" s="160"/>
    </row>
    <row r="1806" spans="2:7" x14ac:dyDescent="0.2">
      <c r="B1806" s="161" t="s">
        <v>444</v>
      </c>
      <c r="C1806" s="158"/>
      <c r="D1806" s="156"/>
      <c r="E1806" s="156"/>
      <c r="F1806" s="159"/>
      <c r="G1806" s="160"/>
    </row>
    <row r="1807" spans="2:7" x14ac:dyDescent="0.2">
      <c r="B1807" s="184" t="s">
        <v>470</v>
      </c>
      <c r="C1807" s="163" t="s">
        <v>2</v>
      </c>
      <c r="D1807" s="164">
        <v>0.35</v>
      </c>
      <c r="E1807" s="165"/>
      <c r="F1807" s="166">
        <v>127091.44</v>
      </c>
      <c r="G1807" s="315">
        <v>44593.48</v>
      </c>
    </row>
    <row r="1808" spans="2:7" x14ac:dyDescent="0.2">
      <c r="B1808" s="180"/>
      <c r="C1808" s="185"/>
      <c r="D1808" s="181"/>
      <c r="E1808" s="186"/>
      <c r="F1808" s="222"/>
      <c r="G1808" s="182"/>
    </row>
    <row r="1809" spans="2:7" x14ac:dyDescent="0.2">
      <c r="B1809" s="157"/>
      <c r="C1809" s="158"/>
      <c r="D1809" s="156"/>
      <c r="E1809" s="156"/>
      <c r="F1809" s="159" t="s">
        <v>446</v>
      </c>
      <c r="G1809" s="183">
        <v>44593.48</v>
      </c>
    </row>
    <row r="1810" spans="2:7" x14ac:dyDescent="0.2">
      <c r="B1810" s="161" t="s">
        <v>447</v>
      </c>
      <c r="C1810" s="158"/>
      <c r="D1810" s="156"/>
      <c r="E1810" s="156"/>
      <c r="F1810" s="159"/>
      <c r="G1810" s="160"/>
    </row>
    <row r="1811" spans="2:7" x14ac:dyDescent="0.2">
      <c r="B1811" s="162" t="s">
        <v>448</v>
      </c>
      <c r="C1811" s="163" t="s">
        <v>2</v>
      </c>
      <c r="D1811" s="164">
        <v>1.75</v>
      </c>
      <c r="E1811" s="165" t="s">
        <v>542</v>
      </c>
      <c r="F1811" s="166">
        <v>1208.1199999999999</v>
      </c>
      <c r="G1811" s="167">
        <v>2119.5</v>
      </c>
    </row>
    <row r="1812" spans="2:7" x14ac:dyDescent="0.2">
      <c r="B1812" s="195"/>
      <c r="C1812" s="361"/>
      <c r="D1812" s="362"/>
      <c r="E1812" s="363"/>
      <c r="F1812" s="364"/>
      <c r="G1812" s="311"/>
    </row>
    <row r="1813" spans="2:7" x14ac:dyDescent="0.2">
      <c r="B1813" s="157"/>
      <c r="C1813" s="158"/>
      <c r="D1813" s="156"/>
      <c r="E1813" s="156"/>
      <c r="F1813" s="159" t="s">
        <v>449</v>
      </c>
      <c r="G1813" s="183">
        <v>2119.5</v>
      </c>
    </row>
    <row r="1814" spans="2:7" x14ac:dyDescent="0.2">
      <c r="B1814" s="161" t="s">
        <v>450</v>
      </c>
      <c r="C1814" s="158"/>
      <c r="D1814" s="156"/>
      <c r="E1814" s="156"/>
      <c r="F1814" s="159"/>
      <c r="G1814" s="160"/>
    </row>
    <row r="1815" spans="2:7" x14ac:dyDescent="0.2">
      <c r="B1815" s="184" t="s">
        <v>451</v>
      </c>
      <c r="C1815" s="185" t="s">
        <v>2</v>
      </c>
      <c r="D1815" s="262">
        <v>47423.5</v>
      </c>
      <c r="E1815" s="186"/>
      <c r="F1815" s="187">
        <v>0.02</v>
      </c>
      <c r="G1815" s="315">
        <v>948.47</v>
      </c>
    </row>
    <row r="1816" spans="2:7" x14ac:dyDescent="0.2">
      <c r="B1816" s="180"/>
      <c r="C1816" s="185"/>
      <c r="D1816" s="181"/>
      <c r="E1816" s="186"/>
      <c r="F1816" s="222"/>
      <c r="G1816" s="182"/>
    </row>
    <row r="1817" spans="2:7" x14ac:dyDescent="0.2">
      <c r="B1817" s="157"/>
      <c r="C1817" s="158"/>
      <c r="D1817" s="156"/>
      <c r="E1817" s="156"/>
      <c r="F1817" s="159" t="s">
        <v>452</v>
      </c>
      <c r="G1817" s="183">
        <v>948.47</v>
      </c>
    </row>
    <row r="1818" spans="2:7" x14ac:dyDescent="0.2">
      <c r="B1818" s="161" t="s">
        <v>453</v>
      </c>
      <c r="C1818" s="158"/>
      <c r="D1818" s="156"/>
      <c r="E1818" s="156"/>
      <c r="F1818" s="159"/>
      <c r="G1818" s="160"/>
    </row>
    <row r="1819" spans="2:7" x14ac:dyDescent="0.2">
      <c r="B1819" s="189" t="s">
        <v>454</v>
      </c>
      <c r="C1819" s="190" t="s">
        <v>2</v>
      </c>
      <c r="D1819" s="365">
        <v>6.0000000000000001E-3</v>
      </c>
      <c r="E1819" s="232"/>
      <c r="F1819" s="166">
        <v>121500</v>
      </c>
      <c r="G1819" s="304">
        <v>710.52</v>
      </c>
    </row>
    <row r="1820" spans="2:7" x14ac:dyDescent="0.2">
      <c r="B1820" s="239" t="s">
        <v>458</v>
      </c>
      <c r="C1820" s="240" t="s">
        <v>456</v>
      </c>
      <c r="D1820" s="366">
        <v>48371.97</v>
      </c>
      <c r="E1820" s="242"/>
      <c r="F1820" s="243"/>
      <c r="G1820" s="367" t="s">
        <v>465</v>
      </c>
    </row>
    <row r="1821" spans="2:7" x14ac:dyDescent="0.2">
      <c r="B1821" s="239" t="s">
        <v>455</v>
      </c>
      <c r="C1821" s="240" t="s">
        <v>456</v>
      </c>
      <c r="D1821" s="366">
        <v>48371.97</v>
      </c>
      <c r="E1821" s="242"/>
      <c r="F1821" s="243"/>
      <c r="G1821" s="304" t="s">
        <v>465</v>
      </c>
    </row>
    <row r="1822" spans="2:7" x14ac:dyDescent="0.2">
      <c r="B1822" s="236"/>
      <c r="C1822" s="185"/>
      <c r="D1822" s="181"/>
      <c r="E1822" s="186"/>
      <c r="F1822" s="222"/>
      <c r="G1822" s="315"/>
    </row>
    <row r="1823" spans="2:7" x14ac:dyDescent="0.2">
      <c r="B1823" s="157"/>
      <c r="C1823" s="158"/>
      <c r="D1823" s="156"/>
      <c r="E1823" s="156"/>
      <c r="F1823" s="159" t="s">
        <v>459</v>
      </c>
      <c r="G1823" s="183">
        <v>710.52</v>
      </c>
    </row>
    <row r="1824" spans="2:7" x14ac:dyDescent="0.2">
      <c r="B1824" s="157"/>
      <c r="C1824" s="158"/>
      <c r="D1824" s="156"/>
      <c r="E1824" s="156"/>
      <c r="F1824" s="159"/>
      <c r="G1824" s="160"/>
    </row>
    <row r="1825" spans="2:7" ht="17" thickBot="1" x14ac:dyDescent="0.25">
      <c r="B1825" s="206"/>
      <c r="C1825" s="207"/>
      <c r="D1825" s="208"/>
      <c r="E1825" s="209" t="s">
        <v>460</v>
      </c>
      <c r="F1825" s="210" t="e">
        <v>#REF!</v>
      </c>
      <c r="G1825" s="211">
        <v>48372</v>
      </c>
    </row>
    <row r="1826" spans="2:7" ht="17" thickTop="1" x14ac:dyDescent="0.2">
      <c r="B1826" s="212"/>
      <c r="C1826" s="213"/>
      <c r="D1826" s="212"/>
      <c r="E1826" s="212"/>
      <c r="F1826" s="212"/>
      <c r="G1826" s="212"/>
    </row>
    <row r="1827" spans="2:7" x14ac:dyDescent="0.2">
      <c r="B1827" s="212"/>
      <c r="C1827" s="213"/>
      <c r="D1827" s="212"/>
      <c r="E1827" s="212"/>
      <c r="F1827" s="212"/>
      <c r="G1827" s="212"/>
    </row>
    <row r="1828" spans="2:7" ht="17" thickBot="1" x14ac:dyDescent="0.25">
      <c r="B1828" s="212"/>
      <c r="C1828" s="213"/>
      <c r="D1828" s="212"/>
      <c r="E1828" s="212"/>
      <c r="F1828" s="212"/>
      <c r="G1828" s="212"/>
    </row>
    <row r="1829" spans="2:7" ht="17" thickTop="1" x14ac:dyDescent="0.2">
      <c r="B1829" s="537" t="s">
        <v>94</v>
      </c>
      <c r="C1829" s="538"/>
      <c r="D1829" s="538"/>
      <c r="E1829" s="538"/>
      <c r="F1829" s="148"/>
      <c r="G1829" s="149" t="s">
        <v>439</v>
      </c>
    </row>
    <row r="1830" spans="2:7" x14ac:dyDescent="0.2">
      <c r="B1830" s="539"/>
      <c r="C1830" s="540"/>
      <c r="D1830" s="540"/>
      <c r="E1830" s="540"/>
      <c r="F1830" s="150"/>
      <c r="G1830" s="151" t="s">
        <v>578</v>
      </c>
    </row>
    <row r="1831" spans="2:7" x14ac:dyDescent="0.2">
      <c r="B1831" s="152" t="s">
        <v>1</v>
      </c>
      <c r="C1831" s="153" t="s">
        <v>2</v>
      </c>
      <c r="D1831" s="153" t="s">
        <v>3</v>
      </c>
      <c r="E1831" s="153" t="s">
        <v>441</v>
      </c>
      <c r="F1831" s="154" t="s">
        <v>442</v>
      </c>
      <c r="G1831" s="155" t="s">
        <v>443</v>
      </c>
    </row>
    <row r="1832" spans="2:7" x14ac:dyDescent="0.2">
      <c r="B1832" s="157"/>
      <c r="C1832" s="158"/>
      <c r="D1832" s="156"/>
      <c r="E1832" s="156"/>
      <c r="F1832" s="159"/>
      <c r="G1832" s="160"/>
    </row>
    <row r="1833" spans="2:7" x14ac:dyDescent="0.2">
      <c r="B1833" s="161" t="s">
        <v>444</v>
      </c>
      <c r="C1833" s="158"/>
      <c r="D1833" s="156"/>
      <c r="E1833" s="156"/>
      <c r="F1833" s="159"/>
      <c r="G1833" s="160"/>
    </row>
    <row r="1834" spans="2:7" x14ac:dyDescent="0.2">
      <c r="B1834" s="184" t="s">
        <v>470</v>
      </c>
      <c r="C1834" s="163" t="s">
        <v>2</v>
      </c>
      <c r="D1834" s="164">
        <v>0.28999999999999998</v>
      </c>
      <c r="E1834" s="165"/>
      <c r="F1834" s="166">
        <v>127091.44</v>
      </c>
      <c r="G1834" s="315">
        <v>37283.07</v>
      </c>
    </row>
    <row r="1835" spans="2:7" x14ac:dyDescent="0.2">
      <c r="B1835" s="180"/>
      <c r="C1835" s="185"/>
      <c r="D1835" s="181"/>
      <c r="E1835" s="186"/>
      <c r="F1835" s="222"/>
      <c r="G1835" s="182"/>
    </row>
    <row r="1836" spans="2:7" x14ac:dyDescent="0.2">
      <c r="B1836" s="157"/>
      <c r="C1836" s="158"/>
      <c r="D1836" s="156"/>
      <c r="E1836" s="156"/>
      <c r="F1836" s="159" t="s">
        <v>446</v>
      </c>
      <c r="G1836" s="183">
        <v>37283.07</v>
      </c>
    </row>
    <row r="1837" spans="2:7" x14ac:dyDescent="0.2">
      <c r="B1837" s="161" t="s">
        <v>447</v>
      </c>
      <c r="C1837" s="158"/>
      <c r="D1837" s="156"/>
      <c r="E1837" s="156"/>
      <c r="F1837" s="159"/>
      <c r="G1837" s="160"/>
    </row>
    <row r="1838" spans="2:7" x14ac:dyDescent="0.2">
      <c r="B1838" s="162" t="s">
        <v>448</v>
      </c>
      <c r="C1838" s="163" t="s">
        <v>2</v>
      </c>
      <c r="D1838" s="164">
        <v>1.75</v>
      </c>
      <c r="E1838" s="165" t="s">
        <v>542</v>
      </c>
      <c r="F1838" s="166">
        <v>1208.1199999999999</v>
      </c>
      <c r="G1838" s="167">
        <v>2119.5</v>
      </c>
    </row>
    <row r="1839" spans="2:7" x14ac:dyDescent="0.2">
      <c r="B1839" s="195"/>
      <c r="C1839" s="361"/>
      <c r="D1839" s="362"/>
      <c r="E1839" s="363"/>
      <c r="F1839" s="364"/>
      <c r="G1839" s="311"/>
    </row>
    <row r="1840" spans="2:7" x14ac:dyDescent="0.2">
      <c r="B1840" s="157"/>
      <c r="C1840" s="158"/>
      <c r="D1840" s="156"/>
      <c r="E1840" s="156"/>
      <c r="F1840" s="159" t="s">
        <v>449</v>
      </c>
      <c r="G1840" s="183">
        <v>2119.5</v>
      </c>
    </row>
    <row r="1841" spans="2:7" x14ac:dyDescent="0.2">
      <c r="B1841" s="161" t="s">
        <v>450</v>
      </c>
      <c r="C1841" s="158"/>
      <c r="D1841" s="156"/>
      <c r="E1841" s="156"/>
      <c r="F1841" s="159"/>
      <c r="G1841" s="160"/>
    </row>
    <row r="1842" spans="2:7" x14ac:dyDescent="0.2">
      <c r="B1842" s="184" t="s">
        <v>451</v>
      </c>
      <c r="C1842" s="185" t="s">
        <v>2</v>
      </c>
      <c r="D1842" s="262">
        <v>40113.089999999997</v>
      </c>
      <c r="E1842" s="186"/>
      <c r="F1842" s="187">
        <v>0.02</v>
      </c>
      <c r="G1842" s="315">
        <v>802.26</v>
      </c>
    </row>
    <row r="1843" spans="2:7" x14ac:dyDescent="0.2">
      <c r="B1843" s="180"/>
      <c r="C1843" s="185"/>
      <c r="D1843" s="181"/>
      <c r="E1843" s="186"/>
      <c r="F1843" s="222"/>
      <c r="G1843" s="182"/>
    </row>
    <row r="1844" spans="2:7" x14ac:dyDescent="0.2">
      <c r="B1844" s="157"/>
      <c r="C1844" s="158"/>
      <c r="D1844" s="156"/>
      <c r="E1844" s="156"/>
      <c r="F1844" s="159" t="s">
        <v>452</v>
      </c>
      <c r="G1844" s="183">
        <v>802.26</v>
      </c>
    </row>
    <row r="1845" spans="2:7" x14ac:dyDescent="0.2">
      <c r="B1845" s="161" t="s">
        <v>453</v>
      </c>
      <c r="C1845" s="158"/>
      <c r="D1845" s="156"/>
      <c r="E1845" s="156"/>
      <c r="F1845" s="159"/>
      <c r="G1845" s="160"/>
    </row>
    <row r="1846" spans="2:7" x14ac:dyDescent="0.2">
      <c r="B1846" s="189" t="s">
        <v>454</v>
      </c>
      <c r="C1846" s="190" t="s">
        <v>2</v>
      </c>
      <c r="D1846" s="365">
        <v>6.0000000000000001E-3</v>
      </c>
      <c r="E1846" s="232"/>
      <c r="F1846" s="166">
        <v>121500</v>
      </c>
      <c r="G1846" s="304">
        <v>710.52</v>
      </c>
    </row>
    <row r="1847" spans="2:7" x14ac:dyDescent="0.2">
      <c r="B1847" s="239" t="s">
        <v>458</v>
      </c>
      <c r="C1847" s="240" t="s">
        <v>456</v>
      </c>
      <c r="D1847" s="366">
        <v>40915.35</v>
      </c>
      <c r="E1847" s="242"/>
      <c r="F1847" s="243"/>
      <c r="G1847" s="367" t="s">
        <v>465</v>
      </c>
    </row>
    <row r="1848" spans="2:7" x14ac:dyDescent="0.2">
      <c r="B1848" s="239" t="s">
        <v>455</v>
      </c>
      <c r="C1848" s="240" t="s">
        <v>456</v>
      </c>
      <c r="D1848" s="366">
        <v>40915.35</v>
      </c>
      <c r="E1848" s="242"/>
      <c r="F1848" s="243"/>
      <c r="G1848" s="304" t="s">
        <v>465</v>
      </c>
    </row>
    <row r="1849" spans="2:7" x14ac:dyDescent="0.2">
      <c r="B1849" s="236"/>
      <c r="C1849" s="185"/>
      <c r="D1849" s="181"/>
      <c r="E1849" s="186"/>
      <c r="F1849" s="222"/>
      <c r="G1849" s="315"/>
    </row>
    <row r="1850" spans="2:7" x14ac:dyDescent="0.2">
      <c r="B1850" s="157"/>
      <c r="C1850" s="158"/>
      <c r="D1850" s="156"/>
      <c r="E1850" s="156"/>
      <c r="F1850" s="159" t="s">
        <v>459</v>
      </c>
      <c r="G1850" s="183">
        <v>710.52</v>
      </c>
    </row>
    <row r="1851" spans="2:7" x14ac:dyDescent="0.2">
      <c r="B1851" s="157"/>
      <c r="C1851" s="158"/>
      <c r="D1851" s="156"/>
      <c r="E1851" s="156"/>
      <c r="F1851" s="159"/>
      <c r="G1851" s="160"/>
    </row>
    <row r="1852" spans="2:7" ht="17" thickBot="1" x14ac:dyDescent="0.25">
      <c r="B1852" s="206"/>
      <c r="C1852" s="207"/>
      <c r="D1852" s="208"/>
      <c r="E1852" s="209" t="s">
        <v>460</v>
      </c>
      <c r="F1852" s="210">
        <v>553031.54</v>
      </c>
      <c r="G1852" s="211">
        <v>40915</v>
      </c>
    </row>
    <row r="1853" spans="2:7" ht="17" thickTop="1" x14ac:dyDescent="0.2">
      <c r="B1853" s="212"/>
      <c r="C1853" s="213"/>
      <c r="D1853" s="212"/>
      <c r="E1853" s="212"/>
      <c r="F1853" s="212"/>
      <c r="G1853" s="212"/>
    </row>
    <row r="1854" spans="2:7" x14ac:dyDescent="0.2">
      <c r="B1854" s="212"/>
      <c r="C1854" s="213"/>
      <c r="D1854" s="212"/>
      <c r="E1854" s="212"/>
      <c r="F1854" s="212"/>
      <c r="G1854" s="212"/>
    </row>
    <row r="1855" spans="2:7" ht="17" thickBot="1" x14ac:dyDescent="0.25">
      <c r="B1855" s="212"/>
      <c r="C1855" s="213"/>
      <c r="D1855" s="212"/>
      <c r="E1855" s="212"/>
      <c r="F1855" s="212"/>
      <c r="G1855" s="212"/>
    </row>
    <row r="1856" spans="2:7" ht="17" thickTop="1" x14ac:dyDescent="0.2">
      <c r="B1856" s="537" t="s">
        <v>95</v>
      </c>
      <c r="C1856" s="538"/>
      <c r="D1856" s="538"/>
      <c r="E1856" s="538"/>
      <c r="F1856" s="148"/>
      <c r="G1856" s="149" t="s">
        <v>439</v>
      </c>
    </row>
    <row r="1857" spans="2:7" x14ac:dyDescent="0.2">
      <c r="B1857" s="539"/>
      <c r="C1857" s="540"/>
      <c r="D1857" s="540"/>
      <c r="E1857" s="540"/>
      <c r="F1857" s="150"/>
      <c r="G1857" s="151" t="s">
        <v>579</v>
      </c>
    </row>
    <row r="1858" spans="2:7" x14ac:dyDescent="0.2">
      <c r="B1858" s="152" t="s">
        <v>1</v>
      </c>
      <c r="C1858" s="153" t="s">
        <v>2</v>
      </c>
      <c r="D1858" s="153" t="s">
        <v>3</v>
      </c>
      <c r="E1858" s="153" t="s">
        <v>441</v>
      </c>
      <c r="F1858" s="154" t="s">
        <v>442</v>
      </c>
      <c r="G1858" s="155" t="s">
        <v>443</v>
      </c>
    </row>
    <row r="1859" spans="2:7" x14ac:dyDescent="0.2">
      <c r="B1859" s="157"/>
      <c r="C1859" s="158"/>
      <c r="D1859" s="156"/>
      <c r="E1859" s="156"/>
      <c r="F1859" s="159"/>
      <c r="G1859" s="160"/>
    </row>
    <row r="1860" spans="2:7" x14ac:dyDescent="0.2">
      <c r="B1860" s="161" t="s">
        <v>444</v>
      </c>
      <c r="C1860" s="158"/>
      <c r="D1860" s="156"/>
      <c r="E1860" s="156"/>
      <c r="F1860" s="159"/>
      <c r="G1860" s="160"/>
    </row>
    <row r="1861" spans="2:7" x14ac:dyDescent="0.2">
      <c r="B1861" s="184" t="s">
        <v>470</v>
      </c>
      <c r="C1861" s="163" t="s">
        <v>2</v>
      </c>
      <c r="D1861" s="164">
        <v>0.24</v>
      </c>
      <c r="E1861" s="165"/>
      <c r="F1861" s="166">
        <v>127091.44</v>
      </c>
      <c r="G1861" s="315">
        <v>29972.67</v>
      </c>
    </row>
    <row r="1862" spans="2:7" x14ac:dyDescent="0.2">
      <c r="B1862" s="180"/>
      <c r="C1862" s="185"/>
      <c r="D1862" s="181"/>
      <c r="E1862" s="186"/>
      <c r="F1862" s="222"/>
      <c r="G1862" s="182"/>
    </row>
    <row r="1863" spans="2:7" x14ac:dyDescent="0.2">
      <c r="B1863" s="157"/>
      <c r="C1863" s="158"/>
      <c r="D1863" s="156"/>
      <c r="E1863" s="156"/>
      <c r="F1863" s="159" t="s">
        <v>446</v>
      </c>
      <c r="G1863" s="183">
        <v>29972.67</v>
      </c>
    </row>
    <row r="1864" spans="2:7" x14ac:dyDescent="0.2">
      <c r="B1864" s="161" t="s">
        <v>447</v>
      </c>
      <c r="C1864" s="158"/>
      <c r="D1864" s="156"/>
      <c r="E1864" s="156"/>
      <c r="F1864" s="159"/>
      <c r="G1864" s="160"/>
    </row>
    <row r="1865" spans="2:7" x14ac:dyDescent="0.2">
      <c r="B1865" s="162" t="s">
        <v>448</v>
      </c>
      <c r="C1865" s="163" t="s">
        <v>2</v>
      </c>
      <c r="D1865" s="164">
        <v>1.75</v>
      </c>
      <c r="E1865" s="165" t="s">
        <v>542</v>
      </c>
      <c r="F1865" s="166">
        <v>1208.1199999999999</v>
      </c>
      <c r="G1865" s="167">
        <v>2119.5</v>
      </c>
    </row>
    <row r="1866" spans="2:7" x14ac:dyDescent="0.2">
      <c r="B1866" s="195"/>
      <c r="C1866" s="361"/>
      <c r="D1866" s="362"/>
      <c r="E1866" s="363"/>
      <c r="F1866" s="364"/>
      <c r="G1866" s="311"/>
    </row>
    <row r="1867" spans="2:7" x14ac:dyDescent="0.2">
      <c r="B1867" s="157"/>
      <c r="C1867" s="158"/>
      <c r="D1867" s="156"/>
      <c r="E1867" s="156"/>
      <c r="F1867" s="159" t="s">
        <v>449</v>
      </c>
      <c r="G1867" s="183">
        <v>2119.5</v>
      </c>
    </row>
    <row r="1868" spans="2:7" x14ac:dyDescent="0.2">
      <c r="B1868" s="161" t="s">
        <v>450</v>
      </c>
      <c r="C1868" s="158"/>
      <c r="D1868" s="156"/>
      <c r="E1868" s="156"/>
      <c r="F1868" s="159"/>
      <c r="G1868" s="160"/>
    </row>
    <row r="1869" spans="2:7" x14ac:dyDescent="0.2">
      <c r="B1869" s="184" t="s">
        <v>451</v>
      </c>
      <c r="C1869" s="185" t="s">
        <v>2</v>
      </c>
      <c r="D1869" s="262">
        <v>32802.69</v>
      </c>
      <c r="E1869" s="186"/>
      <c r="F1869" s="187">
        <v>0.02</v>
      </c>
      <c r="G1869" s="315">
        <v>656.05</v>
      </c>
    </row>
    <row r="1870" spans="2:7" x14ac:dyDescent="0.2">
      <c r="B1870" s="180"/>
      <c r="C1870" s="185"/>
      <c r="D1870" s="181"/>
      <c r="E1870" s="186"/>
      <c r="F1870" s="222"/>
      <c r="G1870" s="182"/>
    </row>
    <row r="1871" spans="2:7" x14ac:dyDescent="0.2">
      <c r="B1871" s="157"/>
      <c r="C1871" s="158"/>
      <c r="D1871" s="156"/>
      <c r="E1871" s="156"/>
      <c r="F1871" s="159" t="s">
        <v>452</v>
      </c>
      <c r="G1871" s="183">
        <v>656.05</v>
      </c>
    </row>
    <row r="1872" spans="2:7" x14ac:dyDescent="0.2">
      <c r="B1872" s="161" t="s">
        <v>453</v>
      </c>
      <c r="C1872" s="158"/>
      <c r="D1872" s="156"/>
      <c r="E1872" s="156"/>
      <c r="F1872" s="159"/>
      <c r="G1872" s="160"/>
    </row>
    <row r="1873" spans="2:7" x14ac:dyDescent="0.2">
      <c r="B1873" s="189" t="s">
        <v>454</v>
      </c>
      <c r="C1873" s="190" t="s">
        <v>2</v>
      </c>
      <c r="D1873" s="365">
        <v>6.0000000000000001E-3</v>
      </c>
      <c r="E1873" s="232"/>
      <c r="F1873" s="166">
        <v>121500</v>
      </c>
      <c r="G1873" s="304">
        <v>710.52</v>
      </c>
    </row>
    <row r="1874" spans="2:7" x14ac:dyDescent="0.2">
      <c r="B1874" s="239" t="s">
        <v>455</v>
      </c>
      <c r="C1874" s="240" t="s">
        <v>456</v>
      </c>
      <c r="D1874" s="366">
        <v>33458.74</v>
      </c>
      <c r="E1874" s="242"/>
      <c r="F1874" s="243"/>
      <c r="G1874" s="367" t="s">
        <v>465</v>
      </c>
    </row>
    <row r="1875" spans="2:7" x14ac:dyDescent="0.2">
      <c r="B1875" s="239" t="s">
        <v>458</v>
      </c>
      <c r="C1875" s="240" t="s">
        <v>456</v>
      </c>
      <c r="D1875" s="366">
        <v>33458.74</v>
      </c>
      <c r="E1875" s="242"/>
      <c r="F1875" s="243"/>
      <c r="G1875" s="304" t="s">
        <v>465</v>
      </c>
    </row>
    <row r="1876" spans="2:7" x14ac:dyDescent="0.2">
      <c r="B1876" s="236"/>
      <c r="C1876" s="185"/>
      <c r="D1876" s="181"/>
      <c r="E1876" s="186"/>
      <c r="F1876" s="222"/>
      <c r="G1876" s="315"/>
    </row>
    <row r="1877" spans="2:7" x14ac:dyDescent="0.2">
      <c r="B1877" s="157"/>
      <c r="C1877" s="158"/>
      <c r="D1877" s="156"/>
      <c r="E1877" s="156"/>
      <c r="F1877" s="159" t="s">
        <v>459</v>
      </c>
      <c r="G1877" s="183">
        <v>710.52</v>
      </c>
    </row>
    <row r="1878" spans="2:7" x14ac:dyDescent="0.2">
      <c r="B1878" s="157"/>
      <c r="C1878" s="158"/>
      <c r="D1878" s="156"/>
      <c r="E1878" s="156"/>
      <c r="F1878" s="159"/>
      <c r="G1878" s="160"/>
    </row>
    <row r="1879" spans="2:7" ht="17" thickBot="1" x14ac:dyDescent="0.25">
      <c r="B1879" s="206"/>
      <c r="C1879" s="207"/>
      <c r="D1879" s="208"/>
      <c r="E1879" s="209" t="s">
        <v>460</v>
      </c>
      <c r="F1879" s="210">
        <v>122186762.17</v>
      </c>
      <c r="G1879" s="211">
        <v>33459</v>
      </c>
    </row>
    <row r="1880" spans="2:7" ht="17" thickTop="1" x14ac:dyDescent="0.2">
      <c r="B1880" s="212"/>
      <c r="C1880" s="213"/>
      <c r="D1880" s="212"/>
      <c r="E1880" s="212"/>
      <c r="F1880" s="212"/>
      <c r="G1880" s="212"/>
    </row>
    <row r="1881" spans="2:7" x14ac:dyDescent="0.2">
      <c r="B1881" s="212"/>
      <c r="C1881" s="213"/>
      <c r="D1881" s="212"/>
      <c r="E1881" s="212"/>
      <c r="F1881" s="212"/>
      <c r="G1881" s="212"/>
    </row>
    <row r="1882" spans="2:7" ht="17" thickBot="1" x14ac:dyDescent="0.25">
      <c r="B1882" s="212"/>
      <c r="C1882" s="213"/>
      <c r="D1882" s="212"/>
      <c r="E1882" s="212"/>
      <c r="F1882" s="212"/>
      <c r="G1882" s="212"/>
    </row>
    <row r="1883" spans="2:7" ht="17" thickTop="1" x14ac:dyDescent="0.2">
      <c r="B1883" s="537" t="s">
        <v>96</v>
      </c>
      <c r="C1883" s="538"/>
      <c r="D1883" s="538"/>
      <c r="E1883" s="538"/>
      <c r="F1883" s="148"/>
      <c r="G1883" s="149" t="s">
        <v>439</v>
      </c>
    </row>
    <row r="1884" spans="2:7" x14ac:dyDescent="0.2">
      <c r="B1884" s="539"/>
      <c r="C1884" s="540"/>
      <c r="D1884" s="540"/>
      <c r="E1884" s="540"/>
      <c r="F1884" s="150"/>
      <c r="G1884" s="151" t="s">
        <v>580</v>
      </c>
    </row>
    <row r="1885" spans="2:7" x14ac:dyDescent="0.2">
      <c r="B1885" s="152" t="s">
        <v>1</v>
      </c>
      <c r="C1885" s="153" t="s">
        <v>2</v>
      </c>
      <c r="D1885" s="153" t="s">
        <v>3</v>
      </c>
      <c r="E1885" s="153" t="s">
        <v>441</v>
      </c>
      <c r="F1885" s="154" t="s">
        <v>442</v>
      </c>
      <c r="G1885" s="155" t="s">
        <v>443</v>
      </c>
    </row>
    <row r="1886" spans="2:7" x14ac:dyDescent="0.2">
      <c r="B1886" s="157"/>
      <c r="C1886" s="158"/>
      <c r="D1886" s="156"/>
      <c r="E1886" s="156"/>
      <c r="F1886" s="159"/>
      <c r="G1886" s="160"/>
    </row>
    <row r="1887" spans="2:7" x14ac:dyDescent="0.2">
      <c r="B1887" s="161" t="s">
        <v>444</v>
      </c>
      <c r="C1887" s="158"/>
      <c r="D1887" s="156"/>
      <c r="E1887" s="156"/>
      <c r="F1887" s="159"/>
      <c r="G1887" s="160"/>
    </row>
    <row r="1888" spans="2:7" x14ac:dyDescent="0.2">
      <c r="B1888" s="184" t="s">
        <v>470</v>
      </c>
      <c r="C1888" s="163" t="s">
        <v>2</v>
      </c>
      <c r="D1888" s="164">
        <v>0.18</v>
      </c>
      <c r="E1888" s="165"/>
      <c r="F1888" s="166">
        <v>127091.44</v>
      </c>
      <c r="G1888" s="315">
        <v>22662.26</v>
      </c>
    </row>
    <row r="1889" spans="2:7" x14ac:dyDescent="0.2">
      <c r="B1889" s="180"/>
      <c r="C1889" s="185"/>
      <c r="D1889" s="181"/>
      <c r="E1889" s="186"/>
      <c r="F1889" s="222"/>
      <c r="G1889" s="182"/>
    </row>
    <row r="1890" spans="2:7" x14ac:dyDescent="0.2">
      <c r="B1890" s="157"/>
      <c r="C1890" s="158"/>
      <c r="D1890" s="156"/>
      <c r="E1890" s="156"/>
      <c r="F1890" s="159" t="s">
        <v>446</v>
      </c>
      <c r="G1890" s="183">
        <v>22662.26</v>
      </c>
    </row>
    <row r="1891" spans="2:7" x14ac:dyDescent="0.2">
      <c r="B1891" s="161" t="s">
        <v>447</v>
      </c>
      <c r="C1891" s="158"/>
      <c r="D1891" s="156"/>
      <c r="E1891" s="156"/>
      <c r="F1891" s="159"/>
      <c r="G1891" s="160"/>
    </row>
    <row r="1892" spans="2:7" x14ac:dyDescent="0.2">
      <c r="B1892" s="162" t="s">
        <v>448</v>
      </c>
      <c r="C1892" s="163" t="s">
        <v>2</v>
      </c>
      <c r="D1892" s="164">
        <v>1.75</v>
      </c>
      <c r="E1892" s="165" t="s">
        <v>542</v>
      </c>
      <c r="F1892" s="166">
        <v>1208.1199999999999</v>
      </c>
      <c r="G1892" s="167">
        <v>2119.5</v>
      </c>
    </row>
    <row r="1893" spans="2:7" x14ac:dyDescent="0.2">
      <c r="B1893" s="195"/>
      <c r="C1893" s="361"/>
      <c r="D1893" s="362"/>
      <c r="E1893" s="363"/>
      <c r="F1893" s="364"/>
      <c r="G1893" s="311"/>
    </row>
    <row r="1894" spans="2:7" x14ac:dyDescent="0.2">
      <c r="B1894" s="157"/>
      <c r="C1894" s="158"/>
      <c r="D1894" s="156"/>
      <c r="E1894" s="156"/>
      <c r="F1894" s="159" t="s">
        <v>449</v>
      </c>
      <c r="G1894" s="183">
        <v>2119.5</v>
      </c>
    </row>
    <row r="1895" spans="2:7" x14ac:dyDescent="0.2">
      <c r="B1895" s="161" t="s">
        <v>450</v>
      </c>
      <c r="C1895" s="158"/>
      <c r="D1895" s="156"/>
      <c r="E1895" s="156"/>
      <c r="F1895" s="159"/>
      <c r="G1895" s="160"/>
    </row>
    <row r="1896" spans="2:7" x14ac:dyDescent="0.2">
      <c r="B1896" s="184" t="s">
        <v>451</v>
      </c>
      <c r="C1896" s="185" t="s">
        <v>2</v>
      </c>
      <c r="D1896" s="262">
        <v>25492.28</v>
      </c>
      <c r="E1896" s="186"/>
      <c r="F1896" s="187">
        <v>0.02</v>
      </c>
      <c r="G1896" s="315">
        <v>509.84</v>
      </c>
    </row>
    <row r="1897" spans="2:7" x14ac:dyDescent="0.2">
      <c r="B1897" s="180"/>
      <c r="C1897" s="185"/>
      <c r="D1897" s="181"/>
      <c r="E1897" s="186"/>
      <c r="F1897" s="222"/>
      <c r="G1897" s="182"/>
    </row>
    <row r="1898" spans="2:7" x14ac:dyDescent="0.2">
      <c r="B1898" s="157"/>
      <c r="C1898" s="158"/>
      <c r="D1898" s="156"/>
      <c r="E1898" s="156"/>
      <c r="F1898" s="159" t="s">
        <v>452</v>
      </c>
      <c r="G1898" s="183">
        <v>509.84</v>
      </c>
    </row>
    <row r="1899" spans="2:7" x14ac:dyDescent="0.2">
      <c r="B1899" s="161" t="s">
        <v>453</v>
      </c>
      <c r="C1899" s="158"/>
      <c r="D1899" s="156"/>
      <c r="E1899" s="156"/>
      <c r="F1899" s="159"/>
      <c r="G1899" s="160"/>
    </row>
    <row r="1900" spans="2:7" x14ac:dyDescent="0.2">
      <c r="B1900" s="189" t="s">
        <v>454</v>
      </c>
      <c r="C1900" s="190" t="s">
        <v>2</v>
      </c>
      <c r="D1900" s="365">
        <v>6.0000000000000001E-3</v>
      </c>
      <c r="E1900" s="232"/>
      <c r="F1900" s="166">
        <v>121500</v>
      </c>
      <c r="G1900" s="304">
        <v>710.52</v>
      </c>
    </row>
    <row r="1901" spans="2:7" x14ac:dyDescent="0.2">
      <c r="B1901" s="239" t="s">
        <v>458</v>
      </c>
      <c r="C1901" s="240" t="s">
        <v>456</v>
      </c>
      <c r="D1901" s="366">
        <v>26002.12</v>
      </c>
      <c r="E1901" s="242"/>
      <c r="F1901" s="243"/>
      <c r="G1901" s="367" t="s">
        <v>465</v>
      </c>
    </row>
    <row r="1902" spans="2:7" x14ac:dyDescent="0.2">
      <c r="B1902" s="239" t="s">
        <v>455</v>
      </c>
      <c r="C1902" s="240" t="s">
        <v>456</v>
      </c>
      <c r="D1902" s="366">
        <v>26002.12</v>
      </c>
      <c r="E1902" s="242"/>
      <c r="F1902" s="243"/>
      <c r="G1902" s="304" t="s">
        <v>465</v>
      </c>
    </row>
    <row r="1903" spans="2:7" x14ac:dyDescent="0.2">
      <c r="B1903" s="236"/>
      <c r="C1903" s="185"/>
      <c r="D1903" s="181"/>
      <c r="E1903" s="186"/>
      <c r="F1903" s="222"/>
      <c r="G1903" s="315"/>
    </row>
    <row r="1904" spans="2:7" x14ac:dyDescent="0.2">
      <c r="B1904" s="157"/>
      <c r="C1904" s="158"/>
      <c r="D1904" s="156"/>
      <c r="E1904" s="156"/>
      <c r="F1904" s="159" t="s">
        <v>459</v>
      </c>
      <c r="G1904" s="183">
        <v>710.52</v>
      </c>
    </row>
    <row r="1905" spans="2:7" x14ac:dyDescent="0.2">
      <c r="B1905" s="157"/>
      <c r="C1905" s="158"/>
      <c r="D1905" s="156"/>
      <c r="E1905" s="156"/>
      <c r="F1905" s="159"/>
      <c r="G1905" s="160"/>
    </row>
    <row r="1906" spans="2:7" ht="17" thickBot="1" x14ac:dyDescent="0.25">
      <c r="B1906" s="206"/>
      <c r="C1906" s="207"/>
      <c r="D1906" s="208"/>
      <c r="E1906" s="209" t="s">
        <v>460</v>
      </c>
      <c r="F1906" s="210">
        <v>62136.55</v>
      </c>
      <c r="G1906" s="211">
        <v>26002</v>
      </c>
    </row>
    <row r="1907" spans="2:7" ht="17" thickTop="1" x14ac:dyDescent="0.2">
      <c r="B1907" s="212"/>
      <c r="C1907" s="213"/>
      <c r="D1907" s="212"/>
      <c r="E1907" s="212"/>
      <c r="F1907" s="212"/>
      <c r="G1907" s="212"/>
    </row>
    <row r="1908" spans="2:7" x14ac:dyDescent="0.2">
      <c r="B1908" s="212"/>
      <c r="C1908" s="213"/>
      <c r="D1908" s="212"/>
      <c r="E1908" s="212"/>
      <c r="F1908" s="212"/>
      <c r="G1908" s="212"/>
    </row>
    <row r="1909" spans="2:7" ht="17" thickBot="1" x14ac:dyDescent="0.25">
      <c r="B1909" s="212"/>
      <c r="C1909" s="213"/>
      <c r="D1909" s="212"/>
      <c r="E1909" s="212"/>
      <c r="F1909" s="212"/>
      <c r="G1909" s="212"/>
    </row>
    <row r="1910" spans="2:7" ht="17" thickTop="1" x14ac:dyDescent="0.2">
      <c r="B1910" s="537" t="s">
        <v>99</v>
      </c>
      <c r="C1910" s="538"/>
      <c r="D1910" s="538"/>
      <c r="E1910" s="538"/>
      <c r="F1910" s="148"/>
      <c r="G1910" s="149" t="s">
        <v>439</v>
      </c>
    </row>
    <row r="1911" spans="2:7" x14ac:dyDescent="0.2">
      <c r="B1911" s="539"/>
      <c r="C1911" s="540"/>
      <c r="D1911" s="540"/>
      <c r="E1911" s="540"/>
      <c r="F1911" s="150"/>
      <c r="G1911" s="151" t="s">
        <v>581</v>
      </c>
    </row>
    <row r="1912" spans="2:7" x14ac:dyDescent="0.2">
      <c r="B1912" s="152" t="s">
        <v>1</v>
      </c>
      <c r="C1912" s="153" t="s">
        <v>2</v>
      </c>
      <c r="D1912" s="153" t="s">
        <v>3</v>
      </c>
      <c r="E1912" s="153" t="s">
        <v>441</v>
      </c>
      <c r="F1912" s="154" t="s">
        <v>442</v>
      </c>
      <c r="G1912" s="155" t="s">
        <v>443</v>
      </c>
    </row>
    <row r="1913" spans="2:7" x14ac:dyDescent="0.2">
      <c r="B1913" s="157"/>
      <c r="C1913" s="158"/>
      <c r="D1913" s="156"/>
      <c r="E1913" s="156"/>
      <c r="F1913" s="159"/>
      <c r="G1913" s="160"/>
    </row>
    <row r="1914" spans="2:7" x14ac:dyDescent="0.2">
      <c r="B1914" s="161" t="s">
        <v>444</v>
      </c>
      <c r="C1914" s="158"/>
      <c r="D1914" s="156"/>
      <c r="E1914" s="156"/>
      <c r="F1914" s="159"/>
      <c r="G1914" s="160"/>
    </row>
    <row r="1915" spans="2:7" ht="52" x14ac:dyDescent="0.2">
      <c r="B1915" s="302" t="s">
        <v>541</v>
      </c>
      <c r="C1915" s="190" t="s">
        <v>2</v>
      </c>
      <c r="D1915" s="164">
        <v>1</v>
      </c>
      <c r="E1915" s="303" t="s">
        <v>542</v>
      </c>
      <c r="F1915" s="166">
        <v>8655.42</v>
      </c>
      <c r="G1915" s="304">
        <v>8655.41</v>
      </c>
    </row>
    <row r="1916" spans="2:7" ht="26" x14ac:dyDescent="0.2">
      <c r="B1916" s="305" t="s">
        <v>543</v>
      </c>
      <c r="C1916" s="295" t="s">
        <v>2</v>
      </c>
      <c r="D1916" s="164">
        <v>8.57</v>
      </c>
      <c r="E1916" s="306">
        <v>5</v>
      </c>
      <c r="F1916" s="166">
        <v>535.5</v>
      </c>
      <c r="G1916" s="279">
        <v>4819.5</v>
      </c>
    </row>
    <row r="1917" spans="2:7" x14ac:dyDescent="0.2">
      <c r="B1917" s="195" t="s">
        <v>522</v>
      </c>
      <c r="C1917" s="169" t="s">
        <v>2</v>
      </c>
      <c r="D1917" s="164">
        <v>0.08</v>
      </c>
      <c r="E1917" s="307">
        <v>5</v>
      </c>
      <c r="F1917" s="166">
        <v>35343</v>
      </c>
      <c r="G1917" s="182">
        <v>2902.15</v>
      </c>
    </row>
    <row r="1918" spans="2:7" ht="39" x14ac:dyDescent="0.2">
      <c r="B1918" s="305" t="s">
        <v>544</v>
      </c>
      <c r="C1918" s="201" t="s">
        <v>2</v>
      </c>
      <c r="D1918" s="164">
        <v>0.13</v>
      </c>
      <c r="E1918" s="308"/>
      <c r="F1918" s="166">
        <v>22610</v>
      </c>
      <c r="G1918" s="182">
        <v>2826.25</v>
      </c>
    </row>
    <row r="1919" spans="2:7" x14ac:dyDescent="0.2">
      <c r="B1919" s="309" t="s">
        <v>545</v>
      </c>
      <c r="C1919" s="233" t="s">
        <v>2</v>
      </c>
      <c r="D1919" s="164">
        <v>0.22</v>
      </c>
      <c r="E1919" s="310" t="s">
        <v>542</v>
      </c>
      <c r="F1919" s="249">
        <v>21876.22</v>
      </c>
      <c r="G1919" s="311">
        <v>4861.38</v>
      </c>
    </row>
    <row r="1920" spans="2:7" ht="52" x14ac:dyDescent="0.2">
      <c r="B1920" s="305" t="s">
        <v>546</v>
      </c>
      <c r="C1920" s="295" t="s">
        <v>2</v>
      </c>
      <c r="D1920" s="164">
        <v>3</v>
      </c>
      <c r="E1920" s="306">
        <v>5</v>
      </c>
      <c r="F1920" s="312">
        <v>45.22</v>
      </c>
      <c r="G1920" s="279">
        <v>142.44</v>
      </c>
    </row>
    <row r="1921" spans="2:7" ht="78" x14ac:dyDescent="0.2">
      <c r="B1921" s="309" t="s">
        <v>547</v>
      </c>
      <c r="C1921" s="233" t="s">
        <v>8</v>
      </c>
      <c r="D1921" s="164">
        <v>1</v>
      </c>
      <c r="E1921" s="310" t="s">
        <v>542</v>
      </c>
      <c r="F1921" s="313">
        <v>1228.02</v>
      </c>
      <c r="G1921" s="311">
        <v>1228.01</v>
      </c>
    </row>
    <row r="1922" spans="2:7" x14ac:dyDescent="0.2">
      <c r="B1922" s="236"/>
      <c r="C1922" s="185"/>
      <c r="D1922" s="181"/>
      <c r="E1922" s="314"/>
      <c r="F1922" s="222"/>
      <c r="G1922" s="315"/>
    </row>
    <row r="1923" spans="2:7" x14ac:dyDescent="0.2">
      <c r="B1923" s="157"/>
      <c r="C1923" s="158"/>
      <c r="D1923" s="156"/>
      <c r="E1923" s="156"/>
      <c r="F1923" s="159" t="s">
        <v>446</v>
      </c>
      <c r="G1923" s="183">
        <v>25435.14</v>
      </c>
    </row>
    <row r="1924" spans="2:7" x14ac:dyDescent="0.2">
      <c r="B1924" s="161" t="s">
        <v>447</v>
      </c>
      <c r="C1924" s="158"/>
      <c r="D1924" s="156"/>
      <c r="E1924" s="156"/>
      <c r="F1924" s="159"/>
      <c r="G1924" s="160"/>
    </row>
    <row r="1925" spans="2:7" x14ac:dyDescent="0.2">
      <c r="B1925" s="168" t="s">
        <v>523</v>
      </c>
      <c r="C1925" s="253">
        <v>401056</v>
      </c>
      <c r="D1925" s="316">
        <v>1.47</v>
      </c>
      <c r="E1925" s="317">
        <v>589552</v>
      </c>
      <c r="F1925" s="317">
        <v>25.07</v>
      </c>
      <c r="G1925" s="318">
        <v>23513.42</v>
      </c>
    </row>
    <row r="1926" spans="2:7" x14ac:dyDescent="0.2">
      <c r="B1926" s="346" t="s">
        <v>524</v>
      </c>
      <c r="C1926" s="298">
        <v>107473.5</v>
      </c>
      <c r="D1926" s="349">
        <v>1.47</v>
      </c>
      <c r="E1926" s="334">
        <v>157986</v>
      </c>
      <c r="F1926" s="263">
        <v>25.07</v>
      </c>
      <c r="G1926" s="350">
        <v>6301.04</v>
      </c>
    </row>
    <row r="1927" spans="2:7" x14ac:dyDescent="0.2">
      <c r="B1927" s="291" t="s">
        <v>525</v>
      </c>
      <c r="C1927" s="351">
        <v>272539.5</v>
      </c>
      <c r="D1927" s="320">
        <v>1.47</v>
      </c>
      <c r="E1927" s="321">
        <v>400633</v>
      </c>
      <c r="F1927" s="263">
        <v>50.15</v>
      </c>
      <c r="G1927" s="182">
        <v>7989.33</v>
      </c>
    </row>
    <row r="1928" spans="2:7" x14ac:dyDescent="0.2">
      <c r="B1928" s="157"/>
      <c r="C1928" s="158"/>
      <c r="D1928" s="156"/>
      <c r="E1928" s="156"/>
      <c r="F1928" s="159" t="s">
        <v>449</v>
      </c>
      <c r="G1928" s="183">
        <v>37803.79</v>
      </c>
    </row>
    <row r="1929" spans="2:7" x14ac:dyDescent="0.2">
      <c r="B1929" s="161" t="s">
        <v>450</v>
      </c>
      <c r="C1929" s="158"/>
      <c r="D1929" s="156"/>
      <c r="E1929" s="156"/>
      <c r="F1929" s="159"/>
      <c r="G1929" s="160"/>
    </row>
    <row r="1930" spans="2:7" x14ac:dyDescent="0.2">
      <c r="B1930" s="162" t="s">
        <v>548</v>
      </c>
      <c r="C1930" s="163" t="s">
        <v>114</v>
      </c>
      <c r="D1930" s="322">
        <v>0.18640000000000001</v>
      </c>
      <c r="E1930" s="323"/>
      <c r="F1930" s="312">
        <v>20900</v>
      </c>
      <c r="G1930" s="167">
        <v>3895.76</v>
      </c>
    </row>
    <row r="1931" spans="2:7" x14ac:dyDescent="0.2">
      <c r="B1931" s="352" t="s">
        <v>567</v>
      </c>
      <c r="C1931" s="353" t="s">
        <v>2</v>
      </c>
      <c r="D1931" s="368">
        <v>0.13980000000000001</v>
      </c>
      <c r="E1931" s="355"/>
      <c r="F1931" s="356">
        <v>2000</v>
      </c>
      <c r="G1931" s="217">
        <v>279.60000000000002</v>
      </c>
    </row>
    <row r="1932" spans="2:7" x14ac:dyDescent="0.2">
      <c r="B1932" s="352" t="s">
        <v>568</v>
      </c>
      <c r="C1932" s="353" t="s">
        <v>2</v>
      </c>
      <c r="D1932" s="357">
        <v>0.19939999999999999</v>
      </c>
      <c r="E1932" s="355"/>
      <c r="F1932" s="358">
        <v>2100</v>
      </c>
      <c r="G1932" s="217">
        <v>418.77</v>
      </c>
    </row>
    <row r="1933" spans="2:7" x14ac:dyDescent="0.2">
      <c r="B1933" s="352" t="s">
        <v>551</v>
      </c>
      <c r="C1933" s="353" t="s">
        <v>2</v>
      </c>
      <c r="D1933" s="359">
        <v>0.13980000000000001</v>
      </c>
      <c r="E1933" s="355"/>
      <c r="F1933" s="358">
        <v>1000</v>
      </c>
      <c r="G1933" s="217">
        <v>139.80000000000001</v>
      </c>
    </row>
    <row r="1934" spans="2:7" x14ac:dyDescent="0.2">
      <c r="B1934" s="352" t="s">
        <v>569</v>
      </c>
      <c r="C1934" s="353" t="s">
        <v>2</v>
      </c>
      <c r="D1934" s="359">
        <v>0.23300000000000001</v>
      </c>
      <c r="E1934" s="355"/>
      <c r="F1934" s="358">
        <v>3700</v>
      </c>
      <c r="G1934" s="217">
        <v>862.1</v>
      </c>
    </row>
    <row r="1935" spans="2:7" x14ac:dyDescent="0.2">
      <c r="B1935" s="352" t="s">
        <v>552</v>
      </c>
      <c r="C1935" s="353" t="s">
        <v>2</v>
      </c>
      <c r="D1935" s="360">
        <v>4.6600000000000003E-2</v>
      </c>
      <c r="E1935" s="355"/>
      <c r="F1935" s="358">
        <v>1800</v>
      </c>
      <c r="G1935" s="217">
        <v>83.88</v>
      </c>
    </row>
    <row r="1936" spans="2:7" x14ac:dyDescent="0.2">
      <c r="B1936" s="352" t="s">
        <v>570</v>
      </c>
      <c r="C1936" s="353" t="s">
        <v>2</v>
      </c>
      <c r="D1936" s="360">
        <v>9.3200000000000005E-2</v>
      </c>
      <c r="E1936" s="355"/>
      <c r="F1936" s="358">
        <v>1600</v>
      </c>
      <c r="G1936" s="217">
        <v>149.12</v>
      </c>
    </row>
    <row r="1937" spans="2:7" x14ac:dyDescent="0.2">
      <c r="B1937" s="352" t="s">
        <v>571</v>
      </c>
      <c r="C1937" s="353" t="s">
        <v>2</v>
      </c>
      <c r="D1937" s="357">
        <v>0.13980000000000001</v>
      </c>
      <c r="E1937" s="355"/>
      <c r="F1937" s="358">
        <v>1700</v>
      </c>
      <c r="G1937" s="217">
        <v>237.66</v>
      </c>
    </row>
    <row r="1938" spans="2:7" x14ac:dyDescent="0.2">
      <c r="B1938" s="157"/>
      <c r="C1938" s="158"/>
      <c r="D1938" s="156"/>
      <c r="E1938" s="156"/>
      <c r="F1938" s="159" t="s">
        <v>452</v>
      </c>
      <c r="G1938" s="173">
        <v>6066.69</v>
      </c>
    </row>
    <row r="1939" spans="2:7" x14ac:dyDescent="0.2">
      <c r="B1939" s="161" t="s">
        <v>453</v>
      </c>
      <c r="C1939" s="158"/>
      <c r="D1939" s="156"/>
      <c r="E1939" s="156"/>
      <c r="F1939" s="159"/>
      <c r="G1939" s="160"/>
    </row>
    <row r="1940" spans="2:7" x14ac:dyDescent="0.2">
      <c r="B1940" s="184" t="s">
        <v>454</v>
      </c>
      <c r="C1940" s="185" t="s">
        <v>114</v>
      </c>
      <c r="D1940" s="271">
        <v>6.7000000000000002E-3</v>
      </c>
      <c r="E1940" s="186"/>
      <c r="F1940" s="193">
        <v>121500</v>
      </c>
      <c r="G1940" s="315">
        <v>810</v>
      </c>
    </row>
    <row r="1941" spans="2:7" x14ac:dyDescent="0.2">
      <c r="B1941" s="291" t="s">
        <v>458</v>
      </c>
      <c r="C1941" s="240" t="s">
        <v>456</v>
      </c>
      <c r="D1941" s="328">
        <v>70115.62</v>
      </c>
      <c r="E1941" s="242"/>
      <c r="F1941" s="329"/>
      <c r="G1941" s="304" t="s">
        <v>465</v>
      </c>
    </row>
    <row r="1942" spans="2:7" x14ac:dyDescent="0.2">
      <c r="B1942" s="200" t="s">
        <v>455</v>
      </c>
      <c r="C1942" s="169" t="s">
        <v>456</v>
      </c>
      <c r="D1942" s="262">
        <v>70115.62</v>
      </c>
      <c r="E1942" s="170"/>
      <c r="F1942" s="330"/>
      <c r="G1942" s="182" t="s">
        <v>465</v>
      </c>
    </row>
    <row r="1943" spans="2:7" x14ac:dyDescent="0.2">
      <c r="B1943" s="180"/>
      <c r="C1943" s="169"/>
      <c r="D1943" s="181"/>
      <c r="E1943" s="170"/>
      <c r="F1943" s="171"/>
      <c r="G1943" s="182"/>
    </row>
    <row r="1944" spans="2:7" x14ac:dyDescent="0.2">
      <c r="B1944" s="157"/>
      <c r="C1944" s="158"/>
      <c r="D1944" s="156"/>
      <c r="E1944" s="156"/>
      <c r="F1944" s="159" t="s">
        <v>459</v>
      </c>
      <c r="G1944" s="183">
        <v>810</v>
      </c>
    </row>
    <row r="1945" spans="2:7" x14ac:dyDescent="0.2">
      <c r="B1945" s="157"/>
      <c r="C1945" s="158"/>
      <c r="D1945" s="156"/>
      <c r="E1945" s="156"/>
      <c r="F1945" s="159"/>
      <c r="G1945" s="160"/>
    </row>
    <row r="1946" spans="2:7" ht="17" thickBot="1" x14ac:dyDescent="0.25">
      <c r="B1946" s="206"/>
      <c r="C1946" s="207"/>
      <c r="D1946" s="208"/>
      <c r="E1946" s="209" t="s">
        <v>460</v>
      </c>
      <c r="F1946" s="210">
        <v>59004.98</v>
      </c>
      <c r="G1946" s="211">
        <v>70116</v>
      </c>
    </row>
    <row r="1947" spans="2:7" ht="17" thickTop="1" x14ac:dyDescent="0.2">
      <c r="B1947" s="212"/>
      <c r="C1947" s="213"/>
      <c r="D1947" s="212"/>
      <c r="E1947" s="212"/>
      <c r="F1947" s="212"/>
      <c r="G1947" s="212"/>
    </row>
    <row r="1948" spans="2:7" ht="17" thickBot="1" x14ac:dyDescent="0.25">
      <c r="B1948" s="212"/>
      <c r="C1948" s="213"/>
      <c r="D1948" s="212"/>
      <c r="E1948" s="212"/>
      <c r="F1948" s="212"/>
      <c r="G1948" s="212"/>
    </row>
    <row r="1949" spans="2:7" ht="17" thickTop="1" x14ac:dyDescent="0.2">
      <c r="B1949" s="537" t="s">
        <v>100</v>
      </c>
      <c r="C1949" s="538"/>
      <c r="D1949" s="538"/>
      <c r="E1949" s="538"/>
      <c r="F1949" s="148"/>
      <c r="G1949" s="149" t="s">
        <v>439</v>
      </c>
    </row>
    <row r="1950" spans="2:7" x14ac:dyDescent="0.2">
      <c r="B1950" s="539"/>
      <c r="C1950" s="540"/>
      <c r="D1950" s="540"/>
      <c r="E1950" s="540"/>
      <c r="F1950" s="150"/>
      <c r="G1950" s="151" t="s">
        <v>582</v>
      </c>
    </row>
    <row r="1951" spans="2:7" x14ac:dyDescent="0.2">
      <c r="B1951" s="152" t="s">
        <v>1</v>
      </c>
      <c r="C1951" s="153" t="s">
        <v>2</v>
      </c>
      <c r="D1951" s="153" t="s">
        <v>3</v>
      </c>
      <c r="E1951" s="153" t="s">
        <v>441</v>
      </c>
      <c r="F1951" s="154" t="s">
        <v>442</v>
      </c>
      <c r="G1951" s="155" t="s">
        <v>443</v>
      </c>
    </row>
    <row r="1952" spans="2:7" x14ac:dyDescent="0.2">
      <c r="B1952" s="157"/>
      <c r="C1952" s="158"/>
      <c r="D1952" s="156"/>
      <c r="E1952" s="156"/>
      <c r="F1952" s="159"/>
      <c r="G1952" s="160"/>
    </row>
    <row r="1953" spans="2:7" x14ac:dyDescent="0.2">
      <c r="B1953" s="161" t="s">
        <v>444</v>
      </c>
      <c r="C1953" s="158"/>
      <c r="D1953" s="156"/>
      <c r="E1953" s="156"/>
      <c r="F1953" s="159"/>
      <c r="G1953" s="160"/>
    </row>
    <row r="1954" spans="2:7" x14ac:dyDescent="0.2">
      <c r="B1954" s="236"/>
      <c r="C1954" s="185"/>
      <c r="D1954" s="181"/>
      <c r="E1954" s="314"/>
      <c r="F1954" s="222"/>
      <c r="G1954" s="315"/>
    </row>
    <row r="1955" spans="2:7" x14ac:dyDescent="0.2">
      <c r="B1955" s="157"/>
      <c r="C1955" s="158"/>
      <c r="D1955" s="156"/>
      <c r="E1955" s="156"/>
      <c r="F1955" s="159" t="s">
        <v>446</v>
      </c>
      <c r="G1955" s="183" t="s">
        <v>465</v>
      </c>
    </row>
    <row r="1956" spans="2:7" x14ac:dyDescent="0.2">
      <c r="B1956" s="161" t="s">
        <v>447</v>
      </c>
      <c r="C1956" s="158"/>
      <c r="D1956" s="156"/>
      <c r="E1956" s="156"/>
      <c r="F1956" s="159"/>
      <c r="G1956" s="160"/>
    </row>
    <row r="1957" spans="2:7" x14ac:dyDescent="0.2">
      <c r="B1957" s="291" t="s">
        <v>583</v>
      </c>
      <c r="C1957" s="369">
        <v>314474</v>
      </c>
      <c r="D1957" s="316">
        <v>1.47</v>
      </c>
      <c r="E1957" s="317">
        <v>462276</v>
      </c>
      <c r="F1957" s="370">
        <v>18</v>
      </c>
      <c r="G1957" s="318">
        <v>25682</v>
      </c>
    </row>
    <row r="1958" spans="2:7" x14ac:dyDescent="0.2">
      <c r="B1958" s="371" t="s">
        <v>524</v>
      </c>
      <c r="C1958" s="372">
        <v>107473.5</v>
      </c>
      <c r="D1958" s="349">
        <v>1.47</v>
      </c>
      <c r="E1958" s="334">
        <v>157986</v>
      </c>
      <c r="F1958" s="263">
        <v>18</v>
      </c>
      <c r="G1958" s="350">
        <v>8777</v>
      </c>
    </row>
    <row r="1959" spans="2:7" x14ac:dyDescent="0.2">
      <c r="B1959" s="373" t="s">
        <v>525</v>
      </c>
      <c r="C1959" s="351">
        <v>272539.5</v>
      </c>
      <c r="D1959" s="320">
        <v>1.47</v>
      </c>
      <c r="E1959" s="321">
        <v>400633</v>
      </c>
      <c r="F1959" s="263">
        <v>36</v>
      </c>
      <c r="G1959" s="182">
        <v>11128.69</v>
      </c>
    </row>
    <row r="1960" spans="2:7" x14ac:dyDescent="0.2">
      <c r="B1960" s="157"/>
      <c r="C1960" s="158"/>
      <c r="D1960" s="156"/>
      <c r="E1960" s="156"/>
      <c r="F1960" s="159" t="s">
        <v>449</v>
      </c>
      <c r="G1960" s="183">
        <v>45587.69</v>
      </c>
    </row>
    <row r="1961" spans="2:7" x14ac:dyDescent="0.2">
      <c r="B1961" s="161" t="s">
        <v>450</v>
      </c>
      <c r="C1961" s="158"/>
      <c r="D1961" s="156"/>
      <c r="E1961" s="156"/>
      <c r="F1961" s="159"/>
      <c r="G1961" s="160"/>
    </row>
    <row r="1962" spans="2:7" x14ac:dyDescent="0.2">
      <c r="B1962" s="162" t="s">
        <v>548</v>
      </c>
      <c r="C1962" s="163" t="s">
        <v>114</v>
      </c>
      <c r="D1962" s="322">
        <v>0.2596</v>
      </c>
      <c r="E1962" s="323"/>
      <c r="F1962" s="312">
        <v>20900</v>
      </c>
      <c r="G1962" s="167">
        <v>5425.64</v>
      </c>
    </row>
    <row r="1963" spans="2:7" x14ac:dyDescent="0.2">
      <c r="B1963" s="352" t="s">
        <v>567</v>
      </c>
      <c r="C1963" s="353" t="s">
        <v>2</v>
      </c>
      <c r="D1963" s="368">
        <v>0.19470000000000001</v>
      </c>
      <c r="E1963" s="355"/>
      <c r="F1963" s="356">
        <v>2000</v>
      </c>
      <c r="G1963" s="217">
        <v>389.4</v>
      </c>
    </row>
    <row r="1964" spans="2:7" x14ac:dyDescent="0.2">
      <c r="B1964" s="352" t="s">
        <v>568</v>
      </c>
      <c r="C1964" s="353" t="s">
        <v>2</v>
      </c>
      <c r="D1964" s="357">
        <v>0.27779999999999999</v>
      </c>
      <c r="E1964" s="355"/>
      <c r="F1964" s="358">
        <v>2100</v>
      </c>
      <c r="G1964" s="217">
        <v>583.33000000000004</v>
      </c>
    </row>
    <row r="1965" spans="2:7" x14ac:dyDescent="0.2">
      <c r="B1965" s="352" t="s">
        <v>551</v>
      </c>
      <c r="C1965" s="353" t="s">
        <v>2</v>
      </c>
      <c r="D1965" s="359">
        <v>0.19470000000000001</v>
      </c>
      <c r="E1965" s="355"/>
      <c r="F1965" s="358">
        <v>1000</v>
      </c>
      <c r="G1965" s="217">
        <v>194.7</v>
      </c>
    </row>
    <row r="1966" spans="2:7" x14ac:dyDescent="0.2">
      <c r="B1966" s="352" t="s">
        <v>569</v>
      </c>
      <c r="C1966" s="353" t="s">
        <v>2</v>
      </c>
      <c r="D1966" s="359">
        <v>0.32450000000000001</v>
      </c>
      <c r="E1966" s="355"/>
      <c r="F1966" s="358">
        <v>3700</v>
      </c>
      <c r="G1966" s="217">
        <v>1200.6500000000001</v>
      </c>
    </row>
    <row r="1967" spans="2:7" x14ac:dyDescent="0.2">
      <c r="B1967" s="352" t="s">
        <v>552</v>
      </c>
      <c r="C1967" s="353" t="s">
        <v>2</v>
      </c>
      <c r="D1967" s="360">
        <v>6.4899999999999999E-2</v>
      </c>
      <c r="E1967" s="355"/>
      <c r="F1967" s="358">
        <v>1800</v>
      </c>
      <c r="G1967" s="217">
        <v>116.82</v>
      </c>
    </row>
    <row r="1968" spans="2:7" x14ac:dyDescent="0.2">
      <c r="B1968" s="352" t="s">
        <v>570</v>
      </c>
      <c r="C1968" s="353" t="s">
        <v>2</v>
      </c>
      <c r="D1968" s="360">
        <v>0.1298</v>
      </c>
      <c r="E1968" s="355"/>
      <c r="F1968" s="358">
        <v>1600</v>
      </c>
      <c r="G1968" s="217">
        <v>207.68</v>
      </c>
    </row>
    <row r="1969" spans="2:7" x14ac:dyDescent="0.2">
      <c r="B1969" s="352" t="s">
        <v>571</v>
      </c>
      <c r="C1969" s="353" t="s">
        <v>2</v>
      </c>
      <c r="D1969" s="357">
        <v>0.19470000000000001</v>
      </c>
      <c r="E1969" s="355"/>
      <c r="F1969" s="358">
        <v>1700</v>
      </c>
      <c r="G1969" s="217">
        <v>330.99</v>
      </c>
    </row>
    <row r="1970" spans="2:7" x14ac:dyDescent="0.2">
      <c r="B1970" s="236"/>
      <c r="C1970" s="185"/>
      <c r="D1970" s="205"/>
      <c r="E1970" s="186"/>
      <c r="F1970" s="222"/>
      <c r="G1970" s="315"/>
    </row>
    <row r="1971" spans="2:7" x14ac:dyDescent="0.2">
      <c r="B1971" s="157"/>
      <c r="C1971" s="158"/>
      <c r="D1971" s="156"/>
      <c r="E1971" s="156"/>
      <c r="F1971" s="159" t="s">
        <v>452</v>
      </c>
      <c r="G1971" s="183">
        <v>8449.2099999999991</v>
      </c>
    </row>
    <row r="1972" spans="2:7" x14ac:dyDescent="0.2">
      <c r="B1972" s="161" t="s">
        <v>453</v>
      </c>
      <c r="C1972" s="158"/>
      <c r="D1972" s="156"/>
      <c r="E1972" s="156"/>
      <c r="F1972" s="159"/>
      <c r="G1972" s="160"/>
    </row>
    <row r="1973" spans="2:7" x14ac:dyDescent="0.2">
      <c r="B1973" s="184" t="s">
        <v>454</v>
      </c>
      <c r="C1973" s="185" t="s">
        <v>114</v>
      </c>
      <c r="D1973" s="271">
        <v>6.7000000000000002E-3</v>
      </c>
      <c r="E1973" s="186"/>
      <c r="F1973" s="193">
        <v>121500</v>
      </c>
      <c r="G1973" s="315">
        <v>810</v>
      </c>
    </row>
    <row r="1974" spans="2:7" x14ac:dyDescent="0.2">
      <c r="B1974" s="291" t="s">
        <v>458</v>
      </c>
      <c r="C1974" s="240" t="s">
        <v>456</v>
      </c>
      <c r="D1974" s="328">
        <v>54846.9</v>
      </c>
      <c r="E1974" s="242"/>
      <c r="F1974" s="329"/>
      <c r="G1974" s="304" t="s">
        <v>465</v>
      </c>
    </row>
    <row r="1975" spans="2:7" x14ac:dyDescent="0.2">
      <c r="B1975" s="200" t="s">
        <v>455</v>
      </c>
      <c r="C1975" s="169" t="s">
        <v>456</v>
      </c>
      <c r="D1975" s="262">
        <v>54846.9</v>
      </c>
      <c r="E1975" s="170"/>
      <c r="F1975" s="330"/>
      <c r="G1975" s="182" t="s">
        <v>465</v>
      </c>
    </row>
    <row r="1976" spans="2:7" x14ac:dyDescent="0.2">
      <c r="B1976" s="180"/>
      <c r="C1976" s="169"/>
      <c r="D1976" s="181"/>
      <c r="E1976" s="170"/>
      <c r="F1976" s="171"/>
      <c r="G1976" s="182"/>
    </row>
    <row r="1977" spans="2:7" x14ac:dyDescent="0.2">
      <c r="B1977" s="157"/>
      <c r="C1977" s="158"/>
      <c r="D1977" s="156"/>
      <c r="E1977" s="156"/>
      <c r="F1977" s="159" t="s">
        <v>459</v>
      </c>
      <c r="G1977" s="183">
        <v>810</v>
      </c>
    </row>
    <row r="1978" spans="2:7" x14ac:dyDescent="0.2">
      <c r="B1978" s="157"/>
      <c r="C1978" s="158"/>
      <c r="D1978" s="156"/>
      <c r="E1978" s="156"/>
      <c r="F1978" s="159"/>
      <c r="G1978" s="160"/>
    </row>
    <row r="1979" spans="2:7" ht="17" thickBot="1" x14ac:dyDescent="0.25">
      <c r="B1979" s="206"/>
      <c r="C1979" s="207"/>
      <c r="D1979" s="208"/>
      <c r="E1979" s="209" t="s">
        <v>460</v>
      </c>
      <c r="F1979" s="210">
        <v>1916720.9</v>
      </c>
      <c r="G1979" s="211">
        <v>54847</v>
      </c>
    </row>
    <row r="1980" spans="2:7" ht="17" thickTop="1" x14ac:dyDescent="0.2">
      <c r="B1980" s="212"/>
      <c r="C1980" s="213"/>
      <c r="D1980" s="212"/>
      <c r="E1980" s="212"/>
      <c r="F1980" s="212"/>
      <c r="G1980" s="212"/>
    </row>
    <row r="1981" spans="2:7" x14ac:dyDescent="0.2">
      <c r="B1981" s="212"/>
      <c r="C1981" s="213"/>
      <c r="D1981" s="212"/>
      <c r="E1981" s="212"/>
      <c r="F1981" s="212"/>
      <c r="G1981" s="212"/>
    </row>
    <row r="1982" spans="2:7" ht="17" thickBot="1" x14ac:dyDescent="0.25">
      <c r="B1982" s="212"/>
      <c r="C1982" s="213"/>
      <c r="D1982" s="212"/>
      <c r="E1982" s="212"/>
      <c r="F1982" s="212"/>
      <c r="G1982" s="212"/>
    </row>
    <row r="1983" spans="2:7" ht="17" thickTop="1" x14ac:dyDescent="0.2">
      <c r="B1983" s="537" t="s">
        <v>103</v>
      </c>
      <c r="C1983" s="538"/>
      <c r="D1983" s="538"/>
      <c r="E1983" s="538"/>
      <c r="F1983" s="148"/>
      <c r="G1983" s="149" t="s">
        <v>439</v>
      </c>
    </row>
    <row r="1984" spans="2:7" x14ac:dyDescent="0.2">
      <c r="B1984" s="539"/>
      <c r="C1984" s="540"/>
      <c r="D1984" s="540"/>
      <c r="E1984" s="540"/>
      <c r="F1984" s="150"/>
      <c r="G1984" s="151" t="s">
        <v>584</v>
      </c>
    </row>
    <row r="1985" spans="2:7" x14ac:dyDescent="0.2">
      <c r="B1985" s="152" t="s">
        <v>1</v>
      </c>
      <c r="C1985" s="153" t="s">
        <v>2</v>
      </c>
      <c r="D1985" s="153" t="s">
        <v>3</v>
      </c>
      <c r="E1985" s="153" t="s">
        <v>441</v>
      </c>
      <c r="F1985" s="154" t="s">
        <v>442</v>
      </c>
      <c r="G1985" s="155" t="s">
        <v>443</v>
      </c>
    </row>
    <row r="1986" spans="2:7" x14ac:dyDescent="0.2">
      <c r="B1986" s="157"/>
      <c r="C1986" s="158"/>
      <c r="D1986" s="156"/>
      <c r="E1986" s="156"/>
      <c r="F1986" s="159"/>
      <c r="G1986" s="160"/>
    </row>
    <row r="1987" spans="2:7" x14ac:dyDescent="0.2">
      <c r="B1987" s="161" t="s">
        <v>450</v>
      </c>
      <c r="C1987" s="158"/>
      <c r="D1987" s="156"/>
      <c r="E1987" s="156"/>
      <c r="F1987" s="159"/>
      <c r="G1987" s="160"/>
    </row>
    <row r="1988" spans="2:7" x14ac:dyDescent="0.2">
      <c r="B1988" s="218" t="s">
        <v>527</v>
      </c>
      <c r="C1988" s="219" t="s">
        <v>114</v>
      </c>
      <c r="D1988" s="374">
        <v>8.5699999999999995E-3</v>
      </c>
      <c r="E1988" s="229"/>
      <c r="F1988" s="272">
        <v>1600</v>
      </c>
      <c r="G1988" s="221">
        <v>13.71</v>
      </c>
    </row>
    <row r="1989" spans="2:7" x14ac:dyDescent="0.2">
      <c r="B1989" s="152" t="s">
        <v>528</v>
      </c>
      <c r="C1989" s="219" t="s">
        <v>535</v>
      </c>
      <c r="D1989" s="374">
        <v>5.7099999999999998E-3</v>
      </c>
      <c r="E1989" s="229"/>
      <c r="F1989" s="375">
        <v>1600</v>
      </c>
      <c r="G1989" s="286">
        <v>9.14</v>
      </c>
    </row>
    <row r="1990" spans="2:7" x14ac:dyDescent="0.2">
      <c r="B1990" s="152" t="s">
        <v>454</v>
      </c>
      <c r="C1990" s="219" t="s">
        <v>2</v>
      </c>
      <c r="D1990" s="376">
        <v>1.67E-2</v>
      </c>
      <c r="E1990" s="229"/>
      <c r="F1990" s="166">
        <v>121500</v>
      </c>
      <c r="G1990" s="286">
        <v>2025</v>
      </c>
    </row>
    <row r="1991" spans="2:7" x14ac:dyDescent="0.2">
      <c r="B1991" s="152" t="s">
        <v>585</v>
      </c>
      <c r="C1991" s="219" t="s">
        <v>114</v>
      </c>
      <c r="D1991" s="377">
        <v>6.1499999999999999E-2</v>
      </c>
      <c r="E1991" s="229"/>
      <c r="F1991" s="166">
        <v>12100</v>
      </c>
      <c r="G1991" s="286">
        <v>744.61</v>
      </c>
    </row>
    <row r="1992" spans="2:7" x14ac:dyDescent="0.2">
      <c r="B1992" s="152" t="s">
        <v>529</v>
      </c>
      <c r="C1992" s="219" t="s">
        <v>2</v>
      </c>
      <c r="D1992" s="377">
        <v>4.1000000000000003E-3</v>
      </c>
      <c r="E1992" s="229"/>
      <c r="F1992" s="166">
        <v>255000</v>
      </c>
      <c r="G1992" s="286">
        <v>1036.58</v>
      </c>
    </row>
    <row r="1993" spans="2:7" x14ac:dyDescent="0.2">
      <c r="B1993" s="152" t="s">
        <v>455</v>
      </c>
      <c r="C1993" s="219" t="s">
        <v>456</v>
      </c>
      <c r="D1993" s="228">
        <v>6577.57</v>
      </c>
      <c r="E1993" s="229"/>
      <c r="F1993" s="378"/>
      <c r="G1993" s="286" t="s">
        <v>465</v>
      </c>
    </row>
    <row r="1994" spans="2:7" x14ac:dyDescent="0.2">
      <c r="B1994" s="152" t="s">
        <v>458</v>
      </c>
      <c r="C1994" s="219" t="s">
        <v>456</v>
      </c>
      <c r="D1994" s="228">
        <v>6577.57</v>
      </c>
      <c r="E1994" s="229"/>
      <c r="F1994" s="378"/>
      <c r="G1994" s="286" t="s">
        <v>465</v>
      </c>
    </row>
    <row r="1995" spans="2:7" x14ac:dyDescent="0.2">
      <c r="B1995" s="180"/>
      <c r="C1995" s="185"/>
      <c r="D1995" s="181"/>
      <c r="E1995" s="186"/>
      <c r="F1995" s="222"/>
      <c r="G1995" s="182"/>
    </row>
    <row r="1996" spans="2:7" x14ac:dyDescent="0.2">
      <c r="B1996" s="157"/>
      <c r="C1996" s="158"/>
      <c r="D1996" s="156"/>
      <c r="E1996" s="156"/>
      <c r="F1996" s="159" t="s">
        <v>452</v>
      </c>
      <c r="G1996" s="183">
        <v>3829.04</v>
      </c>
    </row>
    <row r="1997" spans="2:7" x14ac:dyDescent="0.2">
      <c r="B1997" s="161" t="s">
        <v>444</v>
      </c>
      <c r="C1997" s="158"/>
      <c r="D1997" s="156"/>
      <c r="E1997" s="156"/>
      <c r="F1997" s="159"/>
      <c r="G1997" s="160"/>
    </row>
    <row r="1998" spans="2:7" x14ac:dyDescent="0.2">
      <c r="B1998" s="218" t="s">
        <v>586</v>
      </c>
      <c r="C1998" s="219" t="s">
        <v>587</v>
      </c>
      <c r="D1998" s="376">
        <v>2.5000000000000001E-3</v>
      </c>
      <c r="E1998" s="229"/>
      <c r="F1998" s="166">
        <v>93995</v>
      </c>
      <c r="G1998" s="221">
        <v>234.98</v>
      </c>
    </row>
    <row r="1999" spans="2:7" x14ac:dyDescent="0.2">
      <c r="B1999" s="180"/>
      <c r="C1999" s="185"/>
      <c r="D1999" s="181"/>
      <c r="E1999" s="186"/>
      <c r="F1999" s="222"/>
      <c r="G1999" s="182"/>
    </row>
    <row r="2000" spans="2:7" x14ac:dyDescent="0.2">
      <c r="B2000" s="157"/>
      <c r="C2000" s="158"/>
      <c r="D2000" s="156"/>
      <c r="E2000" s="156"/>
      <c r="F2000" s="159" t="s">
        <v>446</v>
      </c>
      <c r="G2000" s="183">
        <v>234.98</v>
      </c>
    </row>
    <row r="2001" spans="2:7" x14ac:dyDescent="0.2">
      <c r="B2001" s="379" t="s">
        <v>447</v>
      </c>
      <c r="C2001" s="158" t="s">
        <v>588</v>
      </c>
      <c r="D2001" s="158" t="s">
        <v>589</v>
      </c>
      <c r="E2001" s="158" t="s">
        <v>590</v>
      </c>
      <c r="F2001" s="380" t="s">
        <v>591</v>
      </c>
      <c r="G2001" s="381" t="s">
        <v>592</v>
      </c>
    </row>
    <row r="2002" spans="2:7" x14ac:dyDescent="0.2">
      <c r="B2002" s="382" t="s">
        <v>523</v>
      </c>
      <c r="C2002" s="253">
        <v>401056</v>
      </c>
      <c r="D2002" s="316">
        <v>1.47</v>
      </c>
      <c r="E2002" s="317">
        <v>589552</v>
      </c>
      <c r="F2002" s="317">
        <v>350</v>
      </c>
      <c r="G2002" s="383">
        <v>1684.43</v>
      </c>
    </row>
    <row r="2003" spans="2:7" x14ac:dyDescent="0.2">
      <c r="B2003" s="346" t="s">
        <v>524</v>
      </c>
      <c r="C2003" s="298">
        <v>107473.5</v>
      </c>
      <c r="D2003" s="299">
        <v>1.47</v>
      </c>
      <c r="E2003" s="300">
        <v>157986</v>
      </c>
      <c r="F2003" s="263">
        <v>350</v>
      </c>
      <c r="G2003" s="381">
        <v>451.38</v>
      </c>
    </row>
    <row r="2004" spans="2:7" x14ac:dyDescent="0.2">
      <c r="B2004" s="269" t="s">
        <v>525</v>
      </c>
      <c r="C2004" s="319">
        <v>272539.5</v>
      </c>
      <c r="D2004" s="362">
        <v>1.47</v>
      </c>
      <c r="E2004" s="234">
        <v>400633</v>
      </c>
      <c r="F2004" s="263">
        <v>1060.6099999999999</v>
      </c>
      <c r="G2004" s="199">
        <v>377.74</v>
      </c>
    </row>
    <row r="2005" spans="2:7" x14ac:dyDescent="0.2">
      <c r="B2005" s="180"/>
      <c r="C2005" s="185"/>
      <c r="D2005" s="181"/>
      <c r="E2005" s="186"/>
      <c r="F2005" s="222"/>
      <c r="G2005" s="315"/>
    </row>
    <row r="2006" spans="2:7" x14ac:dyDescent="0.2">
      <c r="B2006" s="157"/>
      <c r="C2006" s="158"/>
      <c r="D2006" s="156"/>
      <c r="E2006" s="156"/>
      <c r="F2006" s="159" t="s">
        <v>449</v>
      </c>
      <c r="G2006" s="183">
        <v>2513.5500000000002</v>
      </c>
    </row>
    <row r="2007" spans="2:7" x14ac:dyDescent="0.2">
      <c r="B2007" s="157"/>
      <c r="C2007" s="158"/>
      <c r="D2007" s="156"/>
      <c r="E2007" s="156"/>
      <c r="F2007" s="159"/>
      <c r="G2007" s="160"/>
    </row>
    <row r="2008" spans="2:7" ht="17" thickBot="1" x14ac:dyDescent="0.25">
      <c r="B2008" s="206"/>
      <c r="C2008" s="207"/>
      <c r="D2008" s="208"/>
      <c r="E2008" s="209"/>
      <c r="F2008" s="384" t="s">
        <v>593</v>
      </c>
      <c r="G2008" s="211">
        <v>6578</v>
      </c>
    </row>
    <row r="2009" spans="2:7" ht="17" thickTop="1" x14ac:dyDescent="0.2">
      <c r="B2009" s="212"/>
      <c r="C2009" s="213"/>
      <c r="D2009" s="212"/>
      <c r="E2009" s="212"/>
      <c r="F2009" s="212"/>
      <c r="G2009" s="212"/>
    </row>
    <row r="2010" spans="2:7" ht="17" thickBot="1" x14ac:dyDescent="0.25">
      <c r="B2010" s="212"/>
      <c r="C2010" s="213"/>
      <c r="D2010" s="212"/>
      <c r="E2010" s="212"/>
      <c r="F2010" s="212"/>
      <c r="G2010" s="212"/>
    </row>
    <row r="2011" spans="2:7" ht="17" thickTop="1" x14ac:dyDescent="0.2">
      <c r="B2011" s="537" t="s">
        <v>106</v>
      </c>
      <c r="C2011" s="538"/>
      <c r="D2011" s="538"/>
      <c r="E2011" s="538"/>
      <c r="F2011" s="148"/>
      <c r="G2011" s="149" t="s">
        <v>594</v>
      </c>
    </row>
    <row r="2012" spans="2:7" x14ac:dyDescent="0.2">
      <c r="B2012" s="539"/>
      <c r="C2012" s="540"/>
      <c r="D2012" s="540"/>
      <c r="E2012" s="540"/>
      <c r="F2012" s="150"/>
      <c r="G2012" s="151" t="s">
        <v>595</v>
      </c>
    </row>
    <row r="2013" spans="2:7" x14ac:dyDescent="0.2">
      <c r="B2013" s="152" t="s">
        <v>1</v>
      </c>
      <c r="C2013" s="153" t="s">
        <v>2</v>
      </c>
      <c r="D2013" s="153" t="s">
        <v>3</v>
      </c>
      <c r="E2013" s="153" t="s">
        <v>441</v>
      </c>
      <c r="F2013" s="154" t="s">
        <v>442</v>
      </c>
      <c r="G2013" s="155" t="s">
        <v>443</v>
      </c>
    </row>
    <row r="2014" spans="2:7" x14ac:dyDescent="0.2">
      <c r="B2014" s="157"/>
      <c r="C2014" s="158"/>
      <c r="D2014" s="156"/>
      <c r="E2014" s="156"/>
      <c r="F2014" s="159"/>
      <c r="G2014" s="160"/>
    </row>
    <row r="2015" spans="2:7" x14ac:dyDescent="0.2">
      <c r="B2015" s="161" t="s">
        <v>444</v>
      </c>
      <c r="C2015" s="158"/>
      <c r="D2015" s="156"/>
      <c r="E2015" s="156"/>
      <c r="F2015" s="159"/>
      <c r="G2015" s="160"/>
    </row>
    <row r="2016" spans="2:7" x14ac:dyDescent="0.2">
      <c r="B2016" s="184" t="s">
        <v>596</v>
      </c>
      <c r="C2016" s="225" t="s">
        <v>2</v>
      </c>
      <c r="D2016" s="248">
        <v>0.13</v>
      </c>
      <c r="E2016" s="192">
        <v>3</v>
      </c>
      <c r="F2016" s="166">
        <v>26161</v>
      </c>
      <c r="G2016" s="188">
        <v>3521.95</v>
      </c>
    </row>
    <row r="2017" spans="2:7" x14ac:dyDescent="0.2">
      <c r="B2017" s="200" t="s">
        <v>596</v>
      </c>
      <c r="C2017" s="225" t="s">
        <v>2</v>
      </c>
      <c r="D2017" s="248">
        <v>0.09</v>
      </c>
      <c r="E2017" s="192">
        <v>3</v>
      </c>
      <c r="F2017" s="375">
        <v>26161</v>
      </c>
      <c r="G2017" s="204">
        <v>2465.36</v>
      </c>
    </row>
    <row r="2018" spans="2:7" x14ac:dyDescent="0.2">
      <c r="B2018" s="200" t="s">
        <v>597</v>
      </c>
      <c r="C2018" s="225" t="s">
        <v>2</v>
      </c>
      <c r="D2018" s="248">
        <v>0.91</v>
      </c>
      <c r="E2018" s="192">
        <v>3</v>
      </c>
      <c r="F2018" s="385">
        <v>90.44</v>
      </c>
      <c r="G2018" s="204">
        <v>85.22</v>
      </c>
    </row>
    <row r="2019" spans="2:7" x14ac:dyDescent="0.2">
      <c r="B2019" s="346" t="s">
        <v>598</v>
      </c>
      <c r="C2019" s="265" t="s">
        <v>2</v>
      </c>
      <c r="D2019" s="386">
        <v>0.91</v>
      </c>
      <c r="E2019" s="267">
        <v>3</v>
      </c>
      <c r="F2019" s="387">
        <v>44.03</v>
      </c>
      <c r="G2019" s="301">
        <v>41.49</v>
      </c>
    </row>
    <row r="2020" spans="2:7" x14ac:dyDescent="0.2">
      <c r="B2020" s="269" t="s">
        <v>599</v>
      </c>
      <c r="C2020" s="270" t="s">
        <v>600</v>
      </c>
      <c r="D2020" s="388">
        <v>2.6700000000000001E-3</v>
      </c>
      <c r="E2020" s="223">
        <v>2</v>
      </c>
      <c r="F2020" s="214">
        <v>65154</v>
      </c>
      <c r="G2020" s="273">
        <v>177.27</v>
      </c>
    </row>
    <row r="2021" spans="2:7" x14ac:dyDescent="0.2">
      <c r="B2021" s="200" t="s">
        <v>601</v>
      </c>
      <c r="C2021" s="233" t="s">
        <v>600</v>
      </c>
      <c r="D2021" s="389">
        <v>2.6700000000000001E-3</v>
      </c>
      <c r="E2021" s="226">
        <v>2</v>
      </c>
      <c r="F2021" s="375">
        <v>19500</v>
      </c>
      <c r="G2021" s="204">
        <v>53.05</v>
      </c>
    </row>
    <row r="2022" spans="2:7" x14ac:dyDescent="0.2">
      <c r="B2022" s="200" t="s">
        <v>602</v>
      </c>
      <c r="C2022" s="225" t="s">
        <v>2</v>
      </c>
      <c r="D2022" s="389">
        <v>5.3299999999999997E-3</v>
      </c>
      <c r="E2022" s="192">
        <v>2</v>
      </c>
      <c r="F2022" s="385">
        <v>7815</v>
      </c>
      <c r="G2022" s="204">
        <v>42.52</v>
      </c>
    </row>
    <row r="2023" spans="2:7" x14ac:dyDescent="0.2">
      <c r="B2023" s="390" t="s">
        <v>603</v>
      </c>
      <c r="C2023" s="265" t="s">
        <v>604</v>
      </c>
      <c r="D2023" s="391">
        <v>2.6670000000000001E-3</v>
      </c>
      <c r="E2023" s="267">
        <v>2</v>
      </c>
      <c r="F2023" s="387">
        <v>3500</v>
      </c>
      <c r="G2023" s="301">
        <v>9.52</v>
      </c>
    </row>
    <row r="2024" spans="2:7" x14ac:dyDescent="0.2">
      <c r="B2024" s="392" t="s">
        <v>605</v>
      </c>
      <c r="C2024" s="190" t="s">
        <v>606</v>
      </c>
      <c r="D2024" s="393">
        <v>1.6004999999999998E-2</v>
      </c>
      <c r="E2024" s="232"/>
      <c r="F2024" s="394">
        <v>23282</v>
      </c>
      <c r="G2024" s="194">
        <v>372.62</v>
      </c>
    </row>
    <row r="2025" spans="2:7" x14ac:dyDescent="0.2">
      <c r="B2025" s="157"/>
      <c r="C2025" s="158"/>
      <c r="D2025" s="156"/>
      <c r="E2025" s="156"/>
      <c r="F2025" s="159" t="s">
        <v>446</v>
      </c>
      <c r="G2025" s="173">
        <v>6396.38</v>
      </c>
    </row>
    <row r="2026" spans="2:7" x14ac:dyDescent="0.2">
      <c r="B2026" s="161" t="s">
        <v>447</v>
      </c>
      <c r="C2026" s="158"/>
      <c r="D2026" s="156"/>
      <c r="E2026" s="156"/>
      <c r="F2026" s="159"/>
      <c r="G2026" s="160"/>
    </row>
    <row r="2027" spans="2:7" x14ac:dyDescent="0.2">
      <c r="B2027" s="174" t="s">
        <v>607</v>
      </c>
      <c r="C2027" s="395">
        <v>1862.76</v>
      </c>
      <c r="D2027" s="181">
        <v>1.47</v>
      </c>
      <c r="E2027" s="396">
        <v>2738</v>
      </c>
      <c r="F2027" s="397">
        <v>1.2749999999999999</v>
      </c>
      <c r="G2027" s="179">
        <v>2147.2199999999998</v>
      </c>
    </row>
    <row r="2028" spans="2:7" x14ac:dyDescent="0.2">
      <c r="B2028" s="157"/>
      <c r="C2028" s="158"/>
      <c r="D2028" s="156"/>
      <c r="E2028" s="156"/>
      <c r="F2028" s="159" t="s">
        <v>449</v>
      </c>
      <c r="G2028" s="183">
        <v>2147.2199999999998</v>
      </c>
    </row>
    <row r="2029" spans="2:7" x14ac:dyDescent="0.2">
      <c r="B2029" s="161" t="s">
        <v>450</v>
      </c>
      <c r="C2029" s="158"/>
      <c r="D2029" s="156"/>
      <c r="E2029" s="156"/>
      <c r="F2029" s="159"/>
      <c r="G2029" s="160"/>
    </row>
    <row r="2030" spans="2:7" x14ac:dyDescent="0.2">
      <c r="B2030" s="184" t="s">
        <v>451</v>
      </c>
      <c r="C2030" s="185" t="s">
        <v>2</v>
      </c>
      <c r="D2030" s="178">
        <v>7074.7</v>
      </c>
      <c r="E2030" s="186"/>
      <c r="F2030" s="187">
        <v>0.02</v>
      </c>
      <c r="G2030" s="188">
        <v>141.49</v>
      </c>
    </row>
    <row r="2031" spans="2:7" x14ac:dyDescent="0.2">
      <c r="B2031" s="200"/>
      <c r="C2031" s="185"/>
      <c r="D2031" s="398"/>
      <c r="E2031" s="186"/>
      <c r="F2031" s="222"/>
      <c r="G2031" s="182"/>
    </row>
    <row r="2032" spans="2:7" x14ac:dyDescent="0.2">
      <c r="B2032" s="157"/>
      <c r="C2032" s="158"/>
      <c r="D2032" s="156"/>
      <c r="E2032" s="156"/>
      <c r="F2032" s="159" t="s">
        <v>452</v>
      </c>
      <c r="G2032" s="183">
        <v>141.49</v>
      </c>
    </row>
    <row r="2033" spans="2:7" x14ac:dyDescent="0.2">
      <c r="B2033" s="161" t="s">
        <v>453</v>
      </c>
      <c r="C2033" s="158"/>
      <c r="D2033" s="156"/>
      <c r="E2033" s="156"/>
      <c r="F2033" s="159"/>
      <c r="G2033" s="160"/>
    </row>
    <row r="2034" spans="2:7" x14ac:dyDescent="0.2">
      <c r="B2034" s="189" t="s">
        <v>454</v>
      </c>
      <c r="C2034" s="190" t="s">
        <v>2</v>
      </c>
      <c r="D2034" s="191">
        <v>4.0000000000000001E-3</v>
      </c>
      <c r="E2034" s="192"/>
      <c r="F2034" s="193">
        <v>121500</v>
      </c>
      <c r="G2034" s="194">
        <v>477.61</v>
      </c>
    </row>
    <row r="2035" spans="2:7" x14ac:dyDescent="0.2">
      <c r="B2035" s="195" t="s">
        <v>455</v>
      </c>
      <c r="C2035" s="196" t="s">
        <v>456</v>
      </c>
      <c r="D2035" s="178">
        <v>9162.7000000000007</v>
      </c>
      <c r="E2035" s="197"/>
      <c r="F2035" s="198"/>
      <c r="G2035" s="199" t="s">
        <v>457</v>
      </c>
    </row>
    <row r="2036" spans="2:7" x14ac:dyDescent="0.2">
      <c r="B2036" s="195" t="s">
        <v>458</v>
      </c>
      <c r="C2036" s="201" t="s">
        <v>456</v>
      </c>
      <c r="D2036" s="178">
        <v>9162.7000000000007</v>
      </c>
      <c r="E2036" s="202"/>
      <c r="F2036" s="203"/>
      <c r="G2036" s="199" t="s">
        <v>457</v>
      </c>
    </row>
    <row r="2037" spans="2:7" x14ac:dyDescent="0.2">
      <c r="B2037" s="236"/>
      <c r="C2037" s="169"/>
      <c r="D2037" s="205"/>
      <c r="E2037" s="170"/>
      <c r="F2037" s="171"/>
      <c r="G2037" s="315"/>
    </row>
    <row r="2038" spans="2:7" x14ac:dyDescent="0.2">
      <c r="B2038" s="157"/>
      <c r="C2038" s="158"/>
      <c r="D2038" s="156"/>
      <c r="E2038" s="156"/>
      <c r="F2038" s="159" t="s">
        <v>459</v>
      </c>
      <c r="G2038" s="183">
        <v>477.61</v>
      </c>
    </row>
    <row r="2039" spans="2:7" x14ac:dyDescent="0.2">
      <c r="B2039" s="157"/>
      <c r="C2039" s="158"/>
      <c r="D2039" s="156"/>
      <c r="E2039" s="156"/>
      <c r="F2039" s="159"/>
      <c r="G2039" s="160"/>
    </row>
    <row r="2040" spans="2:7" ht="17" thickBot="1" x14ac:dyDescent="0.25">
      <c r="B2040" s="206"/>
      <c r="C2040" s="207"/>
      <c r="D2040" s="208"/>
      <c r="E2040" s="209" t="s">
        <v>460</v>
      </c>
      <c r="F2040" s="210">
        <v>9349.01</v>
      </c>
      <c r="G2040" s="211">
        <v>9349</v>
      </c>
    </row>
    <row r="2041" spans="2:7" ht="17" thickTop="1" x14ac:dyDescent="0.2">
      <c r="B2041" s="212"/>
      <c r="C2041" s="213"/>
      <c r="D2041" s="212"/>
      <c r="E2041" s="212"/>
      <c r="F2041" s="212"/>
      <c r="G2041" s="212"/>
    </row>
    <row r="2042" spans="2:7" x14ac:dyDescent="0.2">
      <c r="B2042" s="212"/>
      <c r="C2042" s="213"/>
      <c r="D2042" s="212"/>
      <c r="E2042" s="212"/>
      <c r="F2042" s="212"/>
      <c r="G2042" s="212"/>
    </row>
    <row r="2043" spans="2:7" ht="17" thickBot="1" x14ac:dyDescent="0.25">
      <c r="B2043" s="212"/>
      <c r="C2043" s="213"/>
      <c r="D2043" s="212"/>
      <c r="E2043" s="212"/>
      <c r="F2043" s="212"/>
      <c r="G2043" s="212"/>
    </row>
    <row r="2044" spans="2:7" ht="17" thickTop="1" x14ac:dyDescent="0.2">
      <c r="B2044" s="537" t="s">
        <v>108</v>
      </c>
      <c r="C2044" s="538"/>
      <c r="D2044" s="538"/>
      <c r="E2044" s="538"/>
      <c r="F2044" s="148"/>
      <c r="G2044" s="149" t="s">
        <v>608</v>
      </c>
    </row>
    <row r="2045" spans="2:7" x14ac:dyDescent="0.2">
      <c r="B2045" s="539"/>
      <c r="C2045" s="540"/>
      <c r="D2045" s="540"/>
      <c r="E2045" s="540"/>
      <c r="F2045" s="150"/>
      <c r="G2045" s="151" t="s">
        <v>609</v>
      </c>
    </row>
    <row r="2046" spans="2:7" x14ac:dyDescent="0.2">
      <c r="B2046" s="152" t="s">
        <v>1</v>
      </c>
      <c r="C2046" s="153" t="s">
        <v>2</v>
      </c>
      <c r="D2046" s="153" t="s">
        <v>3</v>
      </c>
      <c r="E2046" s="153" t="s">
        <v>441</v>
      </c>
      <c r="F2046" s="154" t="s">
        <v>442</v>
      </c>
      <c r="G2046" s="155" t="s">
        <v>443</v>
      </c>
    </row>
    <row r="2047" spans="2:7" x14ac:dyDescent="0.2">
      <c r="B2047" s="157"/>
      <c r="C2047" s="158"/>
      <c r="D2047" s="156"/>
      <c r="E2047" s="156"/>
      <c r="F2047" s="159"/>
      <c r="G2047" s="160"/>
    </row>
    <row r="2048" spans="2:7" x14ac:dyDescent="0.2">
      <c r="B2048" s="161" t="s">
        <v>444</v>
      </c>
      <c r="C2048" s="158"/>
      <c r="D2048" s="156"/>
      <c r="E2048" s="156"/>
      <c r="F2048" s="159"/>
      <c r="G2048" s="160"/>
    </row>
    <row r="2049" spans="2:7" x14ac:dyDescent="0.2">
      <c r="B2049" s="236"/>
      <c r="C2049" s="185"/>
      <c r="D2049" s="181"/>
      <c r="E2049" s="186"/>
      <c r="F2049" s="222"/>
      <c r="G2049" s="315"/>
    </row>
    <row r="2050" spans="2:7" x14ac:dyDescent="0.2">
      <c r="B2050" s="157"/>
      <c r="C2050" s="158"/>
      <c r="D2050" s="156"/>
      <c r="E2050" s="156"/>
      <c r="F2050" s="159" t="s">
        <v>446</v>
      </c>
      <c r="G2050" s="183" t="s">
        <v>465</v>
      </c>
    </row>
    <row r="2051" spans="2:7" x14ac:dyDescent="0.2">
      <c r="B2051" s="161" t="s">
        <v>447</v>
      </c>
      <c r="C2051" s="158"/>
      <c r="D2051" s="156"/>
      <c r="E2051" s="156"/>
      <c r="F2051" s="159"/>
      <c r="G2051" s="160"/>
    </row>
    <row r="2052" spans="2:7" x14ac:dyDescent="0.2">
      <c r="B2052" s="168" t="s">
        <v>523</v>
      </c>
      <c r="C2052" s="253">
        <v>401056</v>
      </c>
      <c r="D2052" s="254">
        <v>1.47</v>
      </c>
      <c r="E2052" s="255">
        <v>589552</v>
      </c>
      <c r="F2052" s="255">
        <v>146.19999999999999</v>
      </c>
      <c r="G2052" s="256">
        <v>4032.5</v>
      </c>
    </row>
    <row r="2053" spans="2:7" x14ac:dyDescent="0.2">
      <c r="B2053" s="195" t="s">
        <v>524</v>
      </c>
      <c r="C2053" s="319">
        <v>107473.5</v>
      </c>
      <c r="D2053" s="362">
        <v>1.47</v>
      </c>
      <c r="E2053" s="234">
        <v>157986</v>
      </c>
      <c r="F2053" s="263">
        <v>146.19999999999999</v>
      </c>
      <c r="G2053" s="199">
        <v>1080.6199999999999</v>
      </c>
    </row>
    <row r="2054" spans="2:7" x14ac:dyDescent="0.2">
      <c r="B2054" s="200" t="s">
        <v>525</v>
      </c>
      <c r="C2054" s="319">
        <v>272539.5</v>
      </c>
      <c r="D2054" s="362">
        <v>1.47</v>
      </c>
      <c r="E2054" s="178">
        <v>400633</v>
      </c>
      <c r="F2054" s="278">
        <v>584.79999999999995</v>
      </c>
      <c r="G2054" s="199">
        <v>685.08</v>
      </c>
    </row>
    <row r="2055" spans="2:7" x14ac:dyDescent="0.2">
      <c r="B2055" s="157"/>
      <c r="C2055" s="158"/>
      <c r="D2055" s="156"/>
      <c r="E2055" s="156"/>
      <c r="F2055" s="159" t="s">
        <v>449</v>
      </c>
      <c r="G2055" s="183">
        <v>5798.2</v>
      </c>
    </row>
    <row r="2056" spans="2:7" x14ac:dyDescent="0.2">
      <c r="B2056" s="161" t="s">
        <v>450</v>
      </c>
      <c r="C2056" s="158"/>
      <c r="D2056" s="354"/>
      <c r="E2056" s="156"/>
      <c r="F2056" s="159"/>
      <c r="G2056" s="160"/>
    </row>
    <row r="2057" spans="2:7" x14ac:dyDescent="0.2">
      <c r="B2057" s="218" t="s">
        <v>610</v>
      </c>
      <c r="C2057" s="219" t="s">
        <v>2</v>
      </c>
      <c r="D2057" s="399">
        <v>8.0000000000000002E-3</v>
      </c>
      <c r="E2057" s="229"/>
      <c r="F2057" s="193">
        <v>7600</v>
      </c>
      <c r="G2057" s="221">
        <v>60.75</v>
      </c>
    </row>
    <row r="2058" spans="2:7" x14ac:dyDescent="0.2">
      <c r="B2058" s="400" t="s">
        <v>567</v>
      </c>
      <c r="C2058" s="353" t="s">
        <v>2</v>
      </c>
      <c r="D2058" s="354">
        <v>2.4E-2</v>
      </c>
      <c r="E2058" s="355"/>
      <c r="F2058" s="358">
        <v>2000</v>
      </c>
      <c r="G2058" s="401">
        <v>47.96</v>
      </c>
    </row>
    <row r="2059" spans="2:7" x14ac:dyDescent="0.2">
      <c r="B2059" s="402" t="s">
        <v>568</v>
      </c>
      <c r="C2059" s="403" t="s">
        <v>2</v>
      </c>
      <c r="D2059" s="404">
        <v>1.337E-2</v>
      </c>
      <c r="E2059" s="405"/>
      <c r="F2059" s="406">
        <v>2100</v>
      </c>
      <c r="G2059" s="160">
        <v>28.07</v>
      </c>
    </row>
    <row r="2060" spans="2:7" x14ac:dyDescent="0.2">
      <c r="B2060" s="400" t="s">
        <v>611</v>
      </c>
      <c r="C2060" s="407" t="s">
        <v>2</v>
      </c>
      <c r="D2060" s="354">
        <v>2.4E-2</v>
      </c>
      <c r="E2060" s="408"/>
      <c r="F2060" s="356">
        <v>2900</v>
      </c>
      <c r="G2060" s="401">
        <v>69.55</v>
      </c>
    </row>
    <row r="2061" spans="2:7" x14ac:dyDescent="0.2">
      <c r="B2061" s="352" t="s">
        <v>551</v>
      </c>
      <c r="C2061" s="353" t="s">
        <v>2</v>
      </c>
      <c r="D2061" s="357">
        <v>2.4E-2</v>
      </c>
      <c r="E2061" s="355"/>
      <c r="F2061" s="358">
        <v>1000</v>
      </c>
      <c r="G2061" s="217">
        <v>23.98</v>
      </c>
    </row>
    <row r="2062" spans="2:7" x14ac:dyDescent="0.2">
      <c r="B2062" s="352" t="s">
        <v>552</v>
      </c>
      <c r="C2062" s="353" t="s">
        <v>2</v>
      </c>
      <c r="D2062" s="368">
        <v>8.0000000000000002E-3</v>
      </c>
      <c r="E2062" s="355"/>
      <c r="F2062" s="358">
        <v>1800</v>
      </c>
      <c r="G2062" s="217">
        <v>14.39</v>
      </c>
    </row>
    <row r="2063" spans="2:7" x14ac:dyDescent="0.2">
      <c r="B2063" s="352" t="s">
        <v>569</v>
      </c>
      <c r="C2063" s="353" t="s">
        <v>2</v>
      </c>
      <c r="D2063" s="357">
        <v>0.04</v>
      </c>
      <c r="E2063" s="355"/>
      <c r="F2063" s="358">
        <v>3700</v>
      </c>
      <c r="G2063" s="217">
        <v>147.9</v>
      </c>
    </row>
    <row r="2064" spans="2:7" x14ac:dyDescent="0.2">
      <c r="B2064" s="402" t="s">
        <v>571</v>
      </c>
      <c r="C2064" s="403" t="s">
        <v>2</v>
      </c>
      <c r="D2064" s="368">
        <v>2.4E-2</v>
      </c>
      <c r="E2064" s="405"/>
      <c r="F2064" s="406">
        <v>1700</v>
      </c>
      <c r="G2064" s="160">
        <v>40.770000000000003</v>
      </c>
    </row>
    <row r="2065" spans="2:7" x14ac:dyDescent="0.2">
      <c r="B2065" s="400" t="s">
        <v>570</v>
      </c>
      <c r="C2065" s="407" t="s">
        <v>2</v>
      </c>
      <c r="D2065" s="354">
        <v>1.6E-2</v>
      </c>
      <c r="E2065" s="408"/>
      <c r="F2065" s="356">
        <v>1600</v>
      </c>
      <c r="G2065" s="401">
        <v>25.58</v>
      </c>
    </row>
    <row r="2066" spans="2:7" x14ac:dyDescent="0.2">
      <c r="B2066" s="152" t="s">
        <v>612</v>
      </c>
      <c r="C2066" s="153" t="s">
        <v>2</v>
      </c>
      <c r="D2066" s="399">
        <v>8.0000000000000002E-3</v>
      </c>
      <c r="E2066" s="325"/>
      <c r="F2066" s="275">
        <v>500</v>
      </c>
      <c r="G2066" s="286">
        <v>3.99</v>
      </c>
    </row>
    <row r="2067" spans="2:7" x14ac:dyDescent="0.2">
      <c r="B2067" s="157"/>
      <c r="C2067" s="158"/>
      <c r="D2067" s="156"/>
      <c r="E2067" s="156"/>
      <c r="F2067" s="159" t="s">
        <v>452</v>
      </c>
      <c r="G2067" s="183">
        <v>462.94</v>
      </c>
    </row>
    <row r="2068" spans="2:7" x14ac:dyDescent="0.2">
      <c r="B2068" s="161" t="s">
        <v>453</v>
      </c>
      <c r="C2068" s="158"/>
      <c r="D2068" s="156"/>
      <c r="E2068" s="156"/>
      <c r="F2068" s="159"/>
      <c r="G2068" s="160"/>
    </row>
    <row r="2069" spans="2:7" x14ac:dyDescent="0.2">
      <c r="B2069" s="189" t="s">
        <v>454</v>
      </c>
      <c r="C2069" s="190" t="s">
        <v>114</v>
      </c>
      <c r="D2069" s="191">
        <v>5.0000000000000001E-3</v>
      </c>
      <c r="E2069" s="232"/>
      <c r="F2069" s="409">
        <v>121500</v>
      </c>
      <c r="G2069" s="194">
        <v>649.73</v>
      </c>
    </row>
    <row r="2070" spans="2:7" x14ac:dyDescent="0.2">
      <c r="B2070" s="239" t="s">
        <v>613</v>
      </c>
      <c r="C2070" s="240" t="s">
        <v>456</v>
      </c>
      <c r="D2070" s="247">
        <v>6910.87</v>
      </c>
      <c r="E2070" s="242"/>
      <c r="F2070" s="243">
        <v>0.01</v>
      </c>
      <c r="G2070" s="199">
        <v>69.099999999999994</v>
      </c>
    </row>
    <row r="2071" spans="2:7" x14ac:dyDescent="0.2">
      <c r="B2071" s="239" t="s">
        <v>614</v>
      </c>
      <c r="C2071" s="240" t="s">
        <v>456</v>
      </c>
      <c r="D2071" s="247">
        <v>6910.87</v>
      </c>
      <c r="E2071" s="242"/>
      <c r="F2071" s="243">
        <v>0.02</v>
      </c>
      <c r="G2071" s="199">
        <v>138.21</v>
      </c>
    </row>
    <row r="2072" spans="2:7" x14ac:dyDescent="0.2">
      <c r="B2072" s="236"/>
      <c r="C2072" s="185"/>
      <c r="D2072" s="205"/>
      <c r="E2072" s="186"/>
      <c r="F2072" s="222"/>
      <c r="G2072" s="315"/>
    </row>
    <row r="2073" spans="2:7" x14ac:dyDescent="0.2">
      <c r="B2073" s="157"/>
      <c r="C2073" s="158"/>
      <c r="D2073" s="156"/>
      <c r="E2073" s="156"/>
      <c r="F2073" s="159" t="s">
        <v>459</v>
      </c>
      <c r="G2073" s="183">
        <v>857.04</v>
      </c>
    </row>
    <row r="2074" spans="2:7" x14ac:dyDescent="0.2">
      <c r="B2074" s="157"/>
      <c r="C2074" s="158"/>
      <c r="D2074" s="156"/>
      <c r="E2074" s="156"/>
      <c r="F2074" s="159"/>
      <c r="G2074" s="160"/>
    </row>
    <row r="2075" spans="2:7" ht="17" thickBot="1" x14ac:dyDescent="0.25">
      <c r="B2075" s="206"/>
      <c r="C2075" s="207"/>
      <c r="D2075" s="208"/>
      <c r="E2075" s="209" t="s">
        <v>460</v>
      </c>
      <c r="F2075" s="210">
        <v>7118.18</v>
      </c>
      <c r="G2075" s="211">
        <v>7118</v>
      </c>
    </row>
    <row r="2076" spans="2:7" ht="17" thickTop="1" x14ac:dyDescent="0.2">
      <c r="B2076" s="212"/>
      <c r="C2076" s="213"/>
      <c r="D2076" s="212"/>
      <c r="E2076" s="212"/>
      <c r="F2076" s="212"/>
      <c r="G2076" s="212"/>
    </row>
    <row r="2077" spans="2:7" ht="17" thickBot="1" x14ac:dyDescent="0.25">
      <c r="B2077" s="212"/>
      <c r="C2077" s="213"/>
      <c r="D2077" s="212"/>
      <c r="E2077" s="212"/>
      <c r="F2077" s="212"/>
      <c r="G2077" s="212"/>
    </row>
    <row r="2078" spans="2:7" ht="17" thickTop="1" x14ac:dyDescent="0.2">
      <c r="B2078" s="537" t="s">
        <v>106</v>
      </c>
      <c r="C2078" s="538"/>
      <c r="D2078" s="538"/>
      <c r="E2078" s="538"/>
      <c r="F2078" s="148"/>
      <c r="G2078" s="149" t="s">
        <v>615</v>
      </c>
    </row>
    <row r="2079" spans="2:7" x14ac:dyDescent="0.2">
      <c r="B2079" s="539"/>
      <c r="C2079" s="540"/>
      <c r="D2079" s="540"/>
      <c r="E2079" s="540"/>
      <c r="F2079" s="150"/>
      <c r="G2079" s="151" t="s">
        <v>616</v>
      </c>
    </row>
    <row r="2080" spans="2:7" x14ac:dyDescent="0.2">
      <c r="B2080" s="152" t="s">
        <v>1</v>
      </c>
      <c r="C2080" s="153" t="s">
        <v>2</v>
      </c>
      <c r="D2080" s="153" t="s">
        <v>3</v>
      </c>
      <c r="E2080" s="153" t="s">
        <v>441</v>
      </c>
      <c r="F2080" s="154" t="s">
        <v>442</v>
      </c>
      <c r="G2080" s="155" t="s">
        <v>443</v>
      </c>
    </row>
    <row r="2081" spans="2:7" x14ac:dyDescent="0.2">
      <c r="B2081" s="157"/>
      <c r="C2081" s="158"/>
      <c r="D2081" s="156"/>
      <c r="E2081" s="156"/>
      <c r="F2081" s="159"/>
      <c r="G2081" s="160"/>
    </row>
    <row r="2082" spans="2:7" x14ac:dyDescent="0.2">
      <c r="B2082" s="161" t="s">
        <v>444</v>
      </c>
      <c r="C2082" s="158"/>
      <c r="D2082" s="156"/>
      <c r="E2082" s="156"/>
      <c r="F2082" s="159"/>
      <c r="G2082" s="160"/>
    </row>
    <row r="2083" spans="2:7" x14ac:dyDescent="0.2">
      <c r="B2083" s="162" t="s">
        <v>596</v>
      </c>
      <c r="C2083" s="163" t="s">
        <v>2</v>
      </c>
      <c r="D2083" s="248">
        <v>0.17</v>
      </c>
      <c r="E2083" s="192">
        <v>3</v>
      </c>
      <c r="F2083" s="166">
        <v>26161</v>
      </c>
      <c r="G2083" s="167">
        <v>4490.97</v>
      </c>
    </row>
    <row r="2084" spans="2:7" x14ac:dyDescent="0.2">
      <c r="B2084" s="216" t="s">
        <v>596</v>
      </c>
      <c r="C2084" s="410" t="s">
        <v>2</v>
      </c>
      <c r="D2084" s="248">
        <v>0.09</v>
      </c>
      <c r="E2084" s="192">
        <v>3</v>
      </c>
      <c r="F2084" s="375">
        <v>26161</v>
      </c>
      <c r="G2084" s="217">
        <v>2410.15</v>
      </c>
    </row>
    <row r="2085" spans="2:7" x14ac:dyDescent="0.2">
      <c r="B2085" s="152" t="s">
        <v>597</v>
      </c>
      <c r="C2085" s="153" t="s">
        <v>2</v>
      </c>
      <c r="D2085" s="248">
        <v>1.17</v>
      </c>
      <c r="E2085" s="192">
        <v>3</v>
      </c>
      <c r="F2085" s="385">
        <v>90.44</v>
      </c>
      <c r="G2085" s="286">
        <v>108.67</v>
      </c>
    </row>
    <row r="2086" spans="2:7" x14ac:dyDescent="0.2">
      <c r="B2086" s="216" t="s">
        <v>598</v>
      </c>
      <c r="C2086" s="410" t="s">
        <v>2</v>
      </c>
      <c r="D2086" s="248">
        <v>1.17</v>
      </c>
      <c r="E2086" s="192">
        <v>3</v>
      </c>
      <c r="F2086" s="375">
        <v>44.03</v>
      </c>
      <c r="G2086" s="217">
        <v>52.9</v>
      </c>
    </row>
    <row r="2087" spans="2:7" x14ac:dyDescent="0.2">
      <c r="B2087" s="152" t="s">
        <v>599</v>
      </c>
      <c r="C2087" s="153" t="s">
        <v>600</v>
      </c>
      <c r="D2087" s="411">
        <v>3.3999999999999998E-3</v>
      </c>
      <c r="E2087" s="170">
        <v>2</v>
      </c>
      <c r="F2087" s="385">
        <v>65154</v>
      </c>
      <c r="G2087" s="286">
        <v>226.04</v>
      </c>
    </row>
    <row r="2088" spans="2:7" x14ac:dyDescent="0.2">
      <c r="B2088" s="216" t="s">
        <v>601</v>
      </c>
      <c r="C2088" s="410" t="s">
        <v>2</v>
      </c>
      <c r="D2088" s="389">
        <v>3.3999999999999998E-3</v>
      </c>
      <c r="E2088" s="226">
        <v>2</v>
      </c>
      <c r="F2088" s="375">
        <v>19500</v>
      </c>
      <c r="G2088" s="217">
        <v>67.650000000000006</v>
      </c>
    </row>
    <row r="2089" spans="2:7" x14ac:dyDescent="0.2">
      <c r="B2089" s="152" t="s">
        <v>602</v>
      </c>
      <c r="C2089" s="153" t="s">
        <v>2</v>
      </c>
      <c r="D2089" s="389">
        <v>6.7999999999999996E-3</v>
      </c>
      <c r="E2089" s="192">
        <v>2</v>
      </c>
      <c r="F2089" s="385">
        <v>7815</v>
      </c>
      <c r="G2089" s="286">
        <v>54.22</v>
      </c>
    </row>
    <row r="2090" spans="2:7" x14ac:dyDescent="0.2">
      <c r="B2090" s="216" t="s">
        <v>603</v>
      </c>
      <c r="C2090" s="410" t="s">
        <v>606</v>
      </c>
      <c r="D2090" s="412">
        <v>3.4009999999999999E-3</v>
      </c>
      <c r="E2090" s="186">
        <v>2</v>
      </c>
      <c r="F2090" s="375">
        <v>3500</v>
      </c>
      <c r="G2090" s="217">
        <v>12.14</v>
      </c>
    </row>
    <row r="2091" spans="2:7" x14ac:dyDescent="0.2">
      <c r="B2091" s="216" t="s">
        <v>605</v>
      </c>
      <c r="C2091" s="410" t="s">
        <v>606</v>
      </c>
      <c r="D2091" s="413">
        <v>2.0407999999999999E-2</v>
      </c>
      <c r="E2091" s="226">
        <v>2</v>
      </c>
      <c r="F2091" s="375">
        <v>23282</v>
      </c>
      <c r="G2091" s="217">
        <v>484.64</v>
      </c>
    </row>
    <row r="2092" spans="2:7" x14ac:dyDescent="0.2">
      <c r="B2092" s="200"/>
      <c r="C2092" s="169"/>
      <c r="D2092" s="170"/>
      <c r="E2092" s="170"/>
      <c r="F2092" s="171"/>
      <c r="G2092" s="204"/>
    </row>
    <row r="2093" spans="2:7" x14ac:dyDescent="0.2">
      <c r="B2093" s="157"/>
      <c r="C2093" s="158"/>
      <c r="D2093" s="156"/>
      <c r="E2093" s="156"/>
      <c r="F2093" s="159" t="s">
        <v>446</v>
      </c>
      <c r="G2093" s="183">
        <v>7907.38</v>
      </c>
    </row>
    <row r="2094" spans="2:7" x14ac:dyDescent="0.2">
      <c r="B2094" s="161" t="s">
        <v>447</v>
      </c>
      <c r="C2094" s="158"/>
      <c r="D2094" s="156"/>
      <c r="E2094" s="156"/>
      <c r="F2094" s="159"/>
      <c r="G2094" s="160"/>
    </row>
    <row r="2095" spans="2:7" x14ac:dyDescent="0.2">
      <c r="B2095" s="174" t="s">
        <v>607</v>
      </c>
      <c r="C2095" s="395">
        <v>1862.76</v>
      </c>
      <c r="D2095" s="181">
        <v>1.47</v>
      </c>
      <c r="E2095" s="396">
        <v>2738</v>
      </c>
      <c r="F2095" s="397">
        <v>1</v>
      </c>
      <c r="G2095" s="179">
        <v>2738</v>
      </c>
    </row>
    <row r="2096" spans="2:7" x14ac:dyDescent="0.2">
      <c r="B2096" s="180"/>
      <c r="C2096" s="185"/>
      <c r="D2096" s="181"/>
      <c r="E2096" s="186"/>
      <c r="F2096" s="222"/>
      <c r="G2096" s="182"/>
    </row>
    <row r="2097" spans="2:7" x14ac:dyDescent="0.2">
      <c r="B2097" s="157"/>
      <c r="C2097" s="158"/>
      <c r="D2097" s="156"/>
      <c r="E2097" s="156"/>
      <c r="F2097" s="159" t="s">
        <v>449</v>
      </c>
      <c r="G2097" s="183">
        <v>2738</v>
      </c>
    </row>
    <row r="2098" spans="2:7" x14ac:dyDescent="0.2">
      <c r="B2098" s="161" t="s">
        <v>450</v>
      </c>
      <c r="C2098" s="158"/>
      <c r="D2098" s="156"/>
      <c r="E2098" s="156"/>
      <c r="F2098" s="159"/>
      <c r="G2098" s="160"/>
    </row>
    <row r="2099" spans="2:7" x14ac:dyDescent="0.2">
      <c r="B2099" s="184" t="s">
        <v>451</v>
      </c>
      <c r="C2099" s="185" t="s">
        <v>2</v>
      </c>
      <c r="D2099" s="178">
        <v>11254.4</v>
      </c>
      <c r="E2099" s="186"/>
      <c r="F2099" s="187">
        <v>0.02</v>
      </c>
      <c r="G2099" s="188">
        <v>225.08</v>
      </c>
    </row>
    <row r="2100" spans="2:7" x14ac:dyDescent="0.2">
      <c r="B2100" s="157"/>
      <c r="C2100" s="158"/>
      <c r="D2100" s="156"/>
      <c r="E2100" s="156"/>
      <c r="F2100" s="159" t="s">
        <v>452</v>
      </c>
      <c r="G2100" s="183">
        <v>225.08</v>
      </c>
    </row>
    <row r="2101" spans="2:7" x14ac:dyDescent="0.2">
      <c r="B2101" s="161" t="s">
        <v>453</v>
      </c>
      <c r="C2101" s="158"/>
      <c r="D2101" s="156"/>
      <c r="E2101" s="156"/>
      <c r="F2101" s="159"/>
      <c r="G2101" s="160"/>
    </row>
    <row r="2102" spans="2:7" x14ac:dyDescent="0.2">
      <c r="B2102" s="189" t="s">
        <v>454</v>
      </c>
      <c r="C2102" s="190" t="s">
        <v>2</v>
      </c>
      <c r="D2102" s="191">
        <v>5.0000000000000001E-3</v>
      </c>
      <c r="E2102" s="192"/>
      <c r="F2102" s="193">
        <v>121500</v>
      </c>
      <c r="G2102" s="194">
        <v>609.02</v>
      </c>
    </row>
    <row r="2103" spans="2:7" x14ac:dyDescent="0.2">
      <c r="B2103" s="195" t="s">
        <v>455</v>
      </c>
      <c r="C2103" s="196" t="s">
        <v>456</v>
      </c>
      <c r="D2103" s="178">
        <v>11254.4</v>
      </c>
      <c r="E2103" s="197"/>
      <c r="F2103" s="198"/>
      <c r="G2103" s="199" t="s">
        <v>457</v>
      </c>
    </row>
    <row r="2104" spans="2:7" x14ac:dyDescent="0.2">
      <c r="B2104" s="195" t="s">
        <v>458</v>
      </c>
      <c r="C2104" s="201" t="s">
        <v>456</v>
      </c>
      <c r="D2104" s="178">
        <v>11254.4</v>
      </c>
      <c r="E2104" s="202"/>
      <c r="F2104" s="203"/>
      <c r="G2104" s="199" t="s">
        <v>457</v>
      </c>
    </row>
    <row r="2105" spans="2:7" x14ac:dyDescent="0.2">
      <c r="B2105" s="157"/>
      <c r="C2105" s="158"/>
      <c r="D2105" s="156"/>
      <c r="E2105" s="156"/>
      <c r="F2105" s="159" t="s">
        <v>459</v>
      </c>
      <c r="G2105" s="173">
        <v>609.02</v>
      </c>
    </row>
    <row r="2106" spans="2:7" x14ac:dyDescent="0.2">
      <c r="B2106" s="157"/>
      <c r="C2106" s="158"/>
      <c r="D2106" s="156"/>
      <c r="E2106" s="156"/>
      <c r="F2106" s="159"/>
      <c r="G2106" s="160"/>
    </row>
    <row r="2107" spans="2:7" ht="17" thickBot="1" x14ac:dyDescent="0.25">
      <c r="B2107" s="206"/>
      <c r="C2107" s="207"/>
      <c r="D2107" s="208"/>
      <c r="E2107" s="209" t="s">
        <v>460</v>
      </c>
      <c r="F2107" s="210" t="s">
        <v>461</v>
      </c>
      <c r="G2107" s="211">
        <v>11479</v>
      </c>
    </row>
    <row r="2108" spans="2:7" ht="17" thickTop="1" x14ac:dyDescent="0.2">
      <c r="B2108" s="212"/>
      <c r="C2108" s="213"/>
      <c r="D2108" s="212"/>
      <c r="E2108" s="212"/>
      <c r="F2108" s="212"/>
      <c r="G2108" s="212"/>
    </row>
    <row r="2109" spans="2:7" x14ac:dyDescent="0.2">
      <c r="B2109" s="212"/>
      <c r="C2109" s="213"/>
      <c r="D2109" s="212"/>
      <c r="E2109" s="212"/>
      <c r="F2109" s="212"/>
      <c r="G2109" s="212"/>
    </row>
    <row r="2110" spans="2:7" ht="17" thickBot="1" x14ac:dyDescent="0.25">
      <c r="B2110" s="212"/>
      <c r="C2110" s="213"/>
      <c r="D2110" s="212"/>
      <c r="E2110" s="212"/>
      <c r="F2110" s="212"/>
      <c r="G2110" s="212"/>
    </row>
    <row r="2111" spans="2:7" ht="17" thickTop="1" x14ac:dyDescent="0.2">
      <c r="B2111" s="537" t="s">
        <v>108</v>
      </c>
      <c r="C2111" s="538"/>
      <c r="D2111" s="538"/>
      <c r="E2111" s="538"/>
      <c r="F2111" s="148"/>
      <c r="G2111" s="149" t="s">
        <v>608</v>
      </c>
    </row>
    <row r="2112" spans="2:7" x14ac:dyDescent="0.2">
      <c r="B2112" s="539"/>
      <c r="C2112" s="540"/>
      <c r="D2112" s="540"/>
      <c r="E2112" s="540"/>
      <c r="F2112" s="150"/>
      <c r="G2112" s="151" t="s">
        <v>617</v>
      </c>
    </row>
    <row r="2113" spans="2:7" x14ac:dyDescent="0.2">
      <c r="B2113" s="152" t="s">
        <v>1</v>
      </c>
      <c r="C2113" s="153" t="s">
        <v>2</v>
      </c>
      <c r="D2113" s="153" t="s">
        <v>3</v>
      </c>
      <c r="E2113" s="153" t="s">
        <v>441</v>
      </c>
      <c r="F2113" s="154" t="s">
        <v>442</v>
      </c>
      <c r="G2113" s="155" t="s">
        <v>443</v>
      </c>
    </row>
    <row r="2114" spans="2:7" x14ac:dyDescent="0.2">
      <c r="B2114" s="157"/>
      <c r="C2114" s="158"/>
      <c r="D2114" s="156"/>
      <c r="E2114" s="156"/>
      <c r="F2114" s="159"/>
      <c r="G2114" s="160"/>
    </row>
    <row r="2115" spans="2:7" x14ac:dyDescent="0.2">
      <c r="B2115" s="161" t="s">
        <v>444</v>
      </c>
      <c r="C2115" s="158"/>
      <c r="D2115" s="156"/>
      <c r="E2115" s="156"/>
      <c r="F2115" s="159"/>
      <c r="G2115" s="160"/>
    </row>
    <row r="2116" spans="2:7" x14ac:dyDescent="0.2">
      <c r="B2116" s="236"/>
      <c r="C2116" s="185"/>
      <c r="D2116" s="181"/>
      <c r="E2116" s="186"/>
      <c r="F2116" s="222"/>
      <c r="G2116" s="315"/>
    </row>
    <row r="2117" spans="2:7" x14ac:dyDescent="0.2">
      <c r="B2117" s="157"/>
      <c r="C2117" s="158"/>
      <c r="D2117" s="156"/>
      <c r="E2117" s="156"/>
      <c r="F2117" s="159" t="s">
        <v>446</v>
      </c>
      <c r="G2117" s="183" t="s">
        <v>465</v>
      </c>
    </row>
    <row r="2118" spans="2:7" x14ac:dyDescent="0.2">
      <c r="B2118" s="161" t="s">
        <v>447</v>
      </c>
      <c r="C2118" s="158"/>
      <c r="D2118" s="156"/>
      <c r="E2118" s="156"/>
      <c r="F2118" s="159"/>
      <c r="G2118" s="160"/>
    </row>
    <row r="2119" spans="2:7" x14ac:dyDescent="0.2">
      <c r="B2119" s="162" t="s">
        <v>523</v>
      </c>
      <c r="C2119" s="387">
        <v>401056</v>
      </c>
      <c r="D2119" s="414">
        <v>1.47</v>
      </c>
      <c r="E2119" s="334">
        <v>589552</v>
      </c>
      <c r="F2119" s="334">
        <v>114.91</v>
      </c>
      <c r="G2119" s="301">
        <v>5130.41</v>
      </c>
    </row>
    <row r="2120" spans="2:7" x14ac:dyDescent="0.2">
      <c r="B2120" s="195" t="s">
        <v>524</v>
      </c>
      <c r="C2120" s="319">
        <v>107473.5</v>
      </c>
      <c r="D2120" s="362">
        <v>1.47</v>
      </c>
      <c r="E2120" s="234">
        <v>157986</v>
      </c>
      <c r="F2120" s="263">
        <v>114.91</v>
      </c>
      <c r="G2120" s="199">
        <v>1374.83</v>
      </c>
    </row>
    <row r="2121" spans="2:7" x14ac:dyDescent="0.2">
      <c r="B2121" s="200" t="s">
        <v>525</v>
      </c>
      <c r="C2121" s="257">
        <v>272539.5</v>
      </c>
      <c r="D2121" s="415">
        <v>1.47</v>
      </c>
      <c r="E2121" s="234">
        <v>400633</v>
      </c>
      <c r="F2121" s="278">
        <v>361.29</v>
      </c>
      <c r="G2121" s="199">
        <v>1108.9000000000001</v>
      </c>
    </row>
    <row r="2122" spans="2:7" x14ac:dyDescent="0.2">
      <c r="B2122" s="157"/>
      <c r="C2122" s="158"/>
      <c r="D2122" s="156"/>
      <c r="E2122" s="156"/>
      <c r="F2122" s="159" t="s">
        <v>449</v>
      </c>
      <c r="G2122" s="183">
        <v>7614.14</v>
      </c>
    </row>
    <row r="2123" spans="2:7" x14ac:dyDescent="0.2">
      <c r="B2123" s="161" t="s">
        <v>450</v>
      </c>
      <c r="C2123" s="158"/>
      <c r="D2123" s="156"/>
      <c r="E2123" s="156"/>
      <c r="F2123" s="159"/>
      <c r="G2123" s="160"/>
    </row>
    <row r="2124" spans="2:7" x14ac:dyDescent="0.2">
      <c r="B2124" s="218" t="s">
        <v>610</v>
      </c>
      <c r="C2124" s="219" t="s">
        <v>2</v>
      </c>
      <c r="D2124" s="399">
        <v>6.3E-3</v>
      </c>
      <c r="E2124" s="229"/>
      <c r="F2124" s="193">
        <v>7600</v>
      </c>
      <c r="G2124" s="221">
        <v>47.75</v>
      </c>
    </row>
    <row r="2125" spans="2:7" x14ac:dyDescent="0.2">
      <c r="B2125" s="400" t="s">
        <v>567</v>
      </c>
      <c r="C2125" s="353" t="s">
        <v>2</v>
      </c>
      <c r="D2125" s="354">
        <v>1.89E-2</v>
      </c>
      <c r="E2125" s="355"/>
      <c r="F2125" s="358">
        <v>2000</v>
      </c>
      <c r="G2125" s="401">
        <v>37.700000000000003</v>
      </c>
    </row>
    <row r="2126" spans="2:7" x14ac:dyDescent="0.2">
      <c r="B2126" s="402" t="s">
        <v>568</v>
      </c>
      <c r="C2126" s="403" t="s">
        <v>2</v>
      </c>
      <c r="D2126" s="404">
        <v>1.051E-2</v>
      </c>
      <c r="E2126" s="405"/>
      <c r="F2126" s="406">
        <v>2100</v>
      </c>
      <c r="G2126" s="160">
        <v>22.06</v>
      </c>
    </row>
    <row r="2127" spans="2:7" x14ac:dyDescent="0.2">
      <c r="B2127" s="400" t="s">
        <v>611</v>
      </c>
      <c r="C2127" s="407" t="s">
        <v>2</v>
      </c>
      <c r="D2127" s="354">
        <v>1.89E-2</v>
      </c>
      <c r="E2127" s="408"/>
      <c r="F2127" s="356">
        <v>2900</v>
      </c>
      <c r="G2127" s="401">
        <v>54.66</v>
      </c>
    </row>
    <row r="2128" spans="2:7" x14ac:dyDescent="0.2">
      <c r="B2128" s="352" t="s">
        <v>551</v>
      </c>
      <c r="C2128" s="353" t="s">
        <v>2</v>
      </c>
      <c r="D2128" s="357">
        <v>1.89E-2</v>
      </c>
      <c r="E2128" s="355"/>
      <c r="F2128" s="358">
        <v>1000</v>
      </c>
      <c r="G2128" s="217">
        <v>18.850000000000001</v>
      </c>
    </row>
    <row r="2129" spans="2:7" x14ac:dyDescent="0.2">
      <c r="B2129" s="352" t="s">
        <v>552</v>
      </c>
      <c r="C2129" s="353" t="s">
        <v>2</v>
      </c>
      <c r="D2129" s="368">
        <v>6.3E-3</v>
      </c>
      <c r="E2129" s="355"/>
      <c r="F2129" s="358">
        <v>1800</v>
      </c>
      <c r="G2129" s="217">
        <v>11.31</v>
      </c>
    </row>
    <row r="2130" spans="2:7" x14ac:dyDescent="0.2">
      <c r="B2130" s="352" t="s">
        <v>569</v>
      </c>
      <c r="C2130" s="353" t="s">
        <v>2</v>
      </c>
      <c r="D2130" s="357">
        <v>3.1399999999999997E-2</v>
      </c>
      <c r="E2130" s="355"/>
      <c r="F2130" s="358">
        <v>3700</v>
      </c>
      <c r="G2130" s="217">
        <v>116.25</v>
      </c>
    </row>
    <row r="2131" spans="2:7" x14ac:dyDescent="0.2">
      <c r="B2131" s="402" t="s">
        <v>571</v>
      </c>
      <c r="C2131" s="403" t="s">
        <v>2</v>
      </c>
      <c r="D2131" s="368">
        <v>1.89E-2</v>
      </c>
      <c r="E2131" s="405"/>
      <c r="F2131" s="406">
        <v>1700</v>
      </c>
      <c r="G2131" s="160">
        <v>32.04</v>
      </c>
    </row>
    <row r="2132" spans="2:7" x14ac:dyDescent="0.2">
      <c r="B2132" s="400" t="s">
        <v>570</v>
      </c>
      <c r="C2132" s="407" t="s">
        <v>2</v>
      </c>
      <c r="D2132" s="354">
        <v>1.26E-2</v>
      </c>
      <c r="E2132" s="408"/>
      <c r="F2132" s="356">
        <v>1600</v>
      </c>
      <c r="G2132" s="401">
        <v>20.100000000000001</v>
      </c>
    </row>
    <row r="2133" spans="2:7" x14ac:dyDescent="0.2">
      <c r="B2133" s="152" t="s">
        <v>612</v>
      </c>
      <c r="C2133" s="153" t="s">
        <v>2</v>
      </c>
      <c r="D2133" s="399">
        <v>6.3E-3</v>
      </c>
      <c r="E2133" s="325"/>
      <c r="F2133" s="275">
        <v>500</v>
      </c>
      <c r="G2133" s="286">
        <v>3.14</v>
      </c>
    </row>
    <row r="2134" spans="2:7" x14ac:dyDescent="0.2">
      <c r="B2134" s="161"/>
      <c r="C2134" s="158"/>
      <c r="D2134" s="156"/>
      <c r="E2134" s="156"/>
      <c r="F2134" s="159"/>
      <c r="G2134" s="160"/>
    </row>
    <row r="2135" spans="2:7" x14ac:dyDescent="0.2">
      <c r="B2135" s="157"/>
      <c r="C2135" s="158"/>
      <c r="D2135" s="156"/>
      <c r="E2135" s="156"/>
      <c r="F2135" s="159" t="s">
        <v>452</v>
      </c>
      <c r="G2135" s="173">
        <v>363.86</v>
      </c>
    </row>
    <row r="2136" spans="2:7" x14ac:dyDescent="0.2">
      <c r="B2136" s="161" t="s">
        <v>453</v>
      </c>
      <c r="C2136" s="158"/>
      <c r="D2136" s="156"/>
      <c r="E2136" s="156"/>
      <c r="F2136" s="159"/>
      <c r="G2136" s="160"/>
    </row>
    <row r="2137" spans="2:7" x14ac:dyDescent="0.2">
      <c r="B2137" s="189" t="s">
        <v>454</v>
      </c>
      <c r="C2137" s="190" t="s">
        <v>114</v>
      </c>
      <c r="D2137" s="191">
        <v>4.0000000000000001E-3</v>
      </c>
      <c r="E2137" s="232"/>
      <c r="F2137" s="409">
        <v>121500</v>
      </c>
      <c r="G2137" s="194">
        <v>510.68</v>
      </c>
    </row>
    <row r="2138" spans="2:7" x14ac:dyDescent="0.2">
      <c r="B2138" s="239" t="s">
        <v>613</v>
      </c>
      <c r="C2138" s="240" t="s">
        <v>456</v>
      </c>
      <c r="D2138" s="247">
        <v>8488.68</v>
      </c>
      <c r="E2138" s="242"/>
      <c r="F2138" s="243">
        <v>0.01</v>
      </c>
      <c r="G2138" s="199">
        <v>84.88</v>
      </c>
    </row>
    <row r="2139" spans="2:7" x14ac:dyDescent="0.2">
      <c r="B2139" s="239" t="s">
        <v>614</v>
      </c>
      <c r="C2139" s="240" t="s">
        <v>456</v>
      </c>
      <c r="D2139" s="247">
        <v>8488.68</v>
      </c>
      <c r="E2139" s="242"/>
      <c r="F2139" s="243">
        <v>0.02</v>
      </c>
      <c r="G2139" s="199">
        <v>169.77</v>
      </c>
    </row>
    <row r="2140" spans="2:7" x14ac:dyDescent="0.2">
      <c r="B2140" s="236"/>
      <c r="C2140" s="185"/>
      <c r="D2140" s="205"/>
      <c r="E2140" s="186"/>
      <c r="F2140" s="222"/>
      <c r="G2140" s="315"/>
    </row>
    <row r="2141" spans="2:7" x14ac:dyDescent="0.2">
      <c r="B2141" s="157"/>
      <c r="C2141" s="158"/>
      <c r="D2141" s="156"/>
      <c r="E2141" s="156"/>
      <c r="F2141" s="159" t="s">
        <v>459</v>
      </c>
      <c r="G2141" s="183">
        <v>765.33</v>
      </c>
    </row>
    <row r="2142" spans="2:7" x14ac:dyDescent="0.2">
      <c r="B2142" s="157"/>
      <c r="C2142" s="158"/>
      <c r="D2142" s="156"/>
      <c r="E2142" s="156"/>
      <c r="F2142" s="159"/>
      <c r="G2142" s="160"/>
    </row>
    <row r="2143" spans="2:7" ht="17" thickBot="1" x14ac:dyDescent="0.25">
      <c r="B2143" s="206"/>
      <c r="C2143" s="207"/>
      <c r="D2143" s="208"/>
      <c r="E2143" s="209" t="s">
        <v>460</v>
      </c>
      <c r="F2143" s="210">
        <v>8743.33</v>
      </c>
      <c r="G2143" s="211">
        <v>8743</v>
      </c>
    </row>
    <row r="2144" spans="2:7" ht="17" thickTop="1" x14ac:dyDescent="0.2">
      <c r="B2144" s="212"/>
      <c r="C2144" s="213"/>
      <c r="D2144" s="212"/>
      <c r="E2144" s="212"/>
      <c r="F2144" s="212"/>
      <c r="G2144" s="212"/>
    </row>
    <row r="2145" spans="2:7" ht="17" thickBot="1" x14ac:dyDescent="0.25">
      <c r="B2145" s="212"/>
      <c r="C2145" s="213"/>
      <c r="D2145" s="212"/>
      <c r="E2145" s="212"/>
      <c r="F2145" s="212"/>
      <c r="G2145" s="212"/>
    </row>
    <row r="2146" spans="2:7" ht="17" thickTop="1" x14ac:dyDescent="0.2">
      <c r="B2146" s="541" t="s">
        <v>113</v>
      </c>
      <c r="C2146" s="542"/>
      <c r="D2146" s="542"/>
      <c r="E2146" s="542"/>
      <c r="F2146" s="416"/>
      <c r="G2146" s="417" t="s">
        <v>618</v>
      </c>
    </row>
    <row r="2147" spans="2:7" x14ac:dyDescent="0.2">
      <c r="B2147" s="543"/>
      <c r="C2147" s="544"/>
      <c r="D2147" s="544"/>
      <c r="E2147" s="544"/>
      <c r="F2147" s="213"/>
      <c r="G2147" s="418" t="s">
        <v>477</v>
      </c>
    </row>
    <row r="2148" spans="2:7" x14ac:dyDescent="0.2">
      <c r="B2148" s="200" t="s">
        <v>1</v>
      </c>
      <c r="C2148" s="169" t="s">
        <v>2</v>
      </c>
      <c r="D2148" s="170" t="s">
        <v>3</v>
      </c>
      <c r="E2148" s="170" t="s">
        <v>441</v>
      </c>
      <c r="F2148" s="222" t="s">
        <v>442</v>
      </c>
      <c r="G2148" s="315" t="s">
        <v>443</v>
      </c>
    </row>
    <row r="2149" spans="2:7" x14ac:dyDescent="0.2">
      <c r="B2149" s="419"/>
      <c r="C2149" s="420"/>
      <c r="D2149" s="421"/>
      <c r="E2149" s="421"/>
      <c r="F2149" s="422"/>
      <c r="G2149" s="350"/>
    </row>
    <row r="2150" spans="2:7" x14ac:dyDescent="0.2">
      <c r="B2150" s="423" t="s">
        <v>444</v>
      </c>
      <c r="C2150" s="420"/>
      <c r="D2150" s="421"/>
      <c r="E2150" s="421"/>
      <c r="F2150" s="422"/>
      <c r="G2150" s="350"/>
    </row>
    <row r="2151" spans="2:7" x14ac:dyDescent="0.2">
      <c r="B2151" s="184"/>
      <c r="C2151" s="185"/>
      <c r="D2151" s="424"/>
      <c r="E2151" s="186"/>
      <c r="F2151" s="222"/>
      <c r="G2151" s="315"/>
    </row>
    <row r="2152" spans="2:7" x14ac:dyDescent="0.2">
      <c r="B2152" s="419"/>
      <c r="C2152" s="420"/>
      <c r="D2152" s="421"/>
      <c r="E2152" s="421"/>
      <c r="F2152" s="422" t="s">
        <v>446</v>
      </c>
      <c r="G2152" s="425" t="s">
        <v>465</v>
      </c>
    </row>
    <row r="2153" spans="2:7" x14ac:dyDescent="0.2">
      <c r="B2153" s="426" t="s">
        <v>447</v>
      </c>
      <c r="C2153" s="420" t="s">
        <v>588</v>
      </c>
      <c r="D2153" s="420" t="s">
        <v>589</v>
      </c>
      <c r="E2153" s="420" t="s">
        <v>590</v>
      </c>
      <c r="F2153" s="427" t="s">
        <v>619</v>
      </c>
      <c r="G2153" s="428" t="s">
        <v>592</v>
      </c>
    </row>
    <row r="2154" spans="2:7" x14ac:dyDescent="0.2">
      <c r="B2154" s="291" t="s">
        <v>620</v>
      </c>
      <c r="C2154" s="429">
        <v>194507.5</v>
      </c>
      <c r="D2154" s="254">
        <v>1.47</v>
      </c>
      <c r="E2154" s="430">
        <v>285926</v>
      </c>
      <c r="F2154" s="431">
        <v>1</v>
      </c>
      <c r="G2154" s="318">
        <v>285926</v>
      </c>
    </row>
    <row r="2155" spans="2:7" x14ac:dyDescent="0.2">
      <c r="B2155" s="346" t="s">
        <v>524</v>
      </c>
      <c r="C2155" s="432">
        <v>107473.5</v>
      </c>
      <c r="D2155" s="414">
        <v>1.47</v>
      </c>
      <c r="E2155" s="433">
        <v>157986</v>
      </c>
      <c r="F2155" s="434">
        <v>1</v>
      </c>
      <c r="G2155" s="350">
        <v>157986</v>
      </c>
    </row>
    <row r="2156" spans="2:7" x14ac:dyDescent="0.2">
      <c r="B2156" s="259" t="s">
        <v>525</v>
      </c>
      <c r="C2156" s="435">
        <v>272539.5</v>
      </c>
      <c r="D2156" s="362">
        <v>1.47</v>
      </c>
      <c r="E2156" s="430">
        <v>400633</v>
      </c>
      <c r="F2156" s="436">
        <v>2</v>
      </c>
      <c r="G2156" s="182">
        <v>200316.5</v>
      </c>
    </row>
    <row r="2157" spans="2:7" x14ac:dyDescent="0.2">
      <c r="B2157" s="419"/>
      <c r="C2157" s="420"/>
      <c r="D2157" s="421"/>
      <c r="E2157" s="421"/>
      <c r="F2157" s="422" t="s">
        <v>621</v>
      </c>
      <c r="G2157" s="425">
        <v>644228.5</v>
      </c>
    </row>
    <row r="2158" spans="2:7" x14ac:dyDescent="0.2">
      <c r="B2158" s="423" t="s">
        <v>450</v>
      </c>
      <c r="C2158" s="420"/>
      <c r="D2158" s="421"/>
      <c r="E2158" s="421"/>
      <c r="F2158" s="422"/>
      <c r="G2158" s="350"/>
    </row>
    <row r="2159" spans="2:7" x14ac:dyDescent="0.2">
      <c r="B2159" s="184" t="s">
        <v>568</v>
      </c>
      <c r="C2159" s="185" t="s">
        <v>2</v>
      </c>
      <c r="D2159" s="437">
        <v>5</v>
      </c>
      <c r="E2159" s="186"/>
      <c r="F2159" s="222">
        <v>2100</v>
      </c>
      <c r="G2159" s="315">
        <v>10500</v>
      </c>
    </row>
    <row r="2160" spans="2:7" x14ac:dyDescent="0.2">
      <c r="B2160" s="200" t="s">
        <v>552</v>
      </c>
      <c r="C2160" s="185" t="s">
        <v>2</v>
      </c>
      <c r="D2160" s="437">
        <v>1</v>
      </c>
      <c r="E2160" s="186"/>
      <c r="F2160" s="222">
        <v>1800</v>
      </c>
      <c r="G2160" s="182">
        <v>1800</v>
      </c>
    </row>
    <row r="2161" spans="2:7" x14ac:dyDescent="0.2">
      <c r="B2161" s="200" t="s">
        <v>622</v>
      </c>
      <c r="C2161" s="185" t="s">
        <v>2</v>
      </c>
      <c r="D2161" s="437">
        <v>1</v>
      </c>
      <c r="E2161" s="186"/>
      <c r="F2161" s="222">
        <v>7600</v>
      </c>
      <c r="G2161" s="182">
        <v>7600</v>
      </c>
    </row>
    <row r="2162" spans="2:7" x14ac:dyDescent="0.2">
      <c r="B2162" s="200" t="s">
        <v>623</v>
      </c>
      <c r="C2162" s="185" t="s">
        <v>2</v>
      </c>
      <c r="D2162" s="437">
        <v>1</v>
      </c>
      <c r="E2162" s="186"/>
      <c r="F2162" s="222">
        <v>7600</v>
      </c>
      <c r="G2162" s="182">
        <v>7600</v>
      </c>
    </row>
    <row r="2163" spans="2:7" x14ac:dyDescent="0.2">
      <c r="B2163" s="200" t="s">
        <v>611</v>
      </c>
      <c r="C2163" s="185" t="s">
        <v>2</v>
      </c>
      <c r="D2163" s="437">
        <v>1</v>
      </c>
      <c r="E2163" s="186"/>
      <c r="F2163" s="222">
        <v>2900</v>
      </c>
      <c r="G2163" s="182">
        <v>2900</v>
      </c>
    </row>
    <row r="2164" spans="2:7" x14ac:dyDescent="0.2">
      <c r="B2164" s="200" t="s">
        <v>551</v>
      </c>
      <c r="C2164" s="185" t="s">
        <v>2</v>
      </c>
      <c r="D2164" s="437">
        <v>2</v>
      </c>
      <c r="E2164" s="186"/>
      <c r="F2164" s="222">
        <v>1000</v>
      </c>
      <c r="G2164" s="182">
        <v>2000</v>
      </c>
    </row>
    <row r="2165" spans="2:7" x14ac:dyDescent="0.2">
      <c r="B2165" s="200" t="s">
        <v>569</v>
      </c>
      <c r="C2165" s="185" t="s">
        <v>2</v>
      </c>
      <c r="D2165" s="437">
        <v>3</v>
      </c>
      <c r="E2165" s="186"/>
      <c r="F2165" s="222">
        <v>3700</v>
      </c>
      <c r="G2165" s="182">
        <v>11100</v>
      </c>
    </row>
    <row r="2166" spans="2:7" x14ac:dyDescent="0.2">
      <c r="B2166" s="200" t="s">
        <v>571</v>
      </c>
      <c r="C2166" s="185" t="s">
        <v>2</v>
      </c>
      <c r="D2166" s="437">
        <v>1</v>
      </c>
      <c r="E2166" s="186"/>
      <c r="F2166" s="222">
        <v>1700</v>
      </c>
      <c r="G2166" s="182">
        <v>1700</v>
      </c>
    </row>
    <row r="2167" spans="2:7" x14ac:dyDescent="0.2">
      <c r="B2167" s="200" t="s">
        <v>570</v>
      </c>
      <c r="C2167" s="185" t="s">
        <v>2</v>
      </c>
      <c r="D2167" s="437">
        <v>1</v>
      </c>
      <c r="E2167" s="186"/>
      <c r="F2167" s="222">
        <v>1600</v>
      </c>
      <c r="G2167" s="182">
        <v>1600</v>
      </c>
    </row>
    <row r="2168" spans="2:7" x14ac:dyDescent="0.2">
      <c r="B2168" s="200" t="s">
        <v>612</v>
      </c>
      <c r="C2168" s="185" t="s">
        <v>2</v>
      </c>
      <c r="D2168" s="437">
        <v>1</v>
      </c>
      <c r="E2168" s="186"/>
      <c r="F2168" s="222">
        <v>500</v>
      </c>
      <c r="G2168" s="182">
        <v>500</v>
      </c>
    </row>
    <row r="2169" spans="2:7" x14ac:dyDescent="0.2">
      <c r="B2169" s="419"/>
      <c r="C2169" s="420"/>
      <c r="D2169" s="421"/>
      <c r="E2169" s="421"/>
      <c r="F2169" s="422"/>
      <c r="G2169" s="350"/>
    </row>
    <row r="2170" spans="2:7" x14ac:dyDescent="0.2">
      <c r="B2170" s="419"/>
      <c r="C2170" s="420"/>
      <c r="D2170" s="421"/>
      <c r="E2170" s="421"/>
      <c r="F2170" s="422" t="s">
        <v>624</v>
      </c>
      <c r="G2170" s="425">
        <v>47300</v>
      </c>
    </row>
    <row r="2171" spans="2:7" x14ac:dyDescent="0.2">
      <c r="B2171" s="423" t="s">
        <v>625</v>
      </c>
      <c r="C2171" s="420"/>
      <c r="D2171" s="421"/>
      <c r="E2171" s="421"/>
      <c r="F2171" s="422"/>
      <c r="G2171" s="350"/>
    </row>
    <row r="2172" spans="2:7" x14ac:dyDescent="0.2">
      <c r="B2172" s="184" t="s">
        <v>626</v>
      </c>
      <c r="C2172" s="185" t="s">
        <v>114</v>
      </c>
      <c r="D2172" s="438">
        <v>1</v>
      </c>
      <c r="E2172" s="186"/>
      <c r="F2172" s="193">
        <v>150000</v>
      </c>
      <c r="G2172" s="315">
        <v>150000</v>
      </c>
    </row>
    <row r="2173" spans="2:7" x14ac:dyDescent="0.2">
      <c r="B2173" s="200" t="s">
        <v>627</v>
      </c>
      <c r="C2173" s="185" t="s">
        <v>114</v>
      </c>
      <c r="D2173" s="438">
        <v>6</v>
      </c>
      <c r="E2173" s="186"/>
      <c r="F2173" s="193">
        <v>6000</v>
      </c>
      <c r="G2173" s="182">
        <v>36000</v>
      </c>
    </row>
    <row r="2174" spans="2:7" x14ac:dyDescent="0.2">
      <c r="B2174" s="239" t="s">
        <v>455</v>
      </c>
      <c r="C2174" s="439" t="s">
        <v>456</v>
      </c>
      <c r="D2174" s="440"/>
      <c r="E2174" s="441"/>
      <c r="F2174" s="442"/>
      <c r="G2174" s="311" t="s">
        <v>465</v>
      </c>
    </row>
    <row r="2175" spans="2:7" x14ac:dyDescent="0.2">
      <c r="B2175" s="419"/>
      <c r="C2175" s="420"/>
      <c r="D2175" s="421"/>
      <c r="E2175" s="421"/>
      <c r="F2175" s="422" t="s">
        <v>628</v>
      </c>
      <c r="G2175" s="443">
        <v>186000</v>
      </c>
    </row>
    <row r="2176" spans="2:7" x14ac:dyDescent="0.2">
      <c r="B2176" s="419"/>
      <c r="C2176" s="420"/>
      <c r="D2176" s="421"/>
      <c r="E2176" s="421"/>
      <c r="F2176" s="422"/>
      <c r="G2176" s="350"/>
    </row>
    <row r="2177" spans="2:7" ht="17" thickBot="1" x14ac:dyDescent="0.25">
      <c r="B2177" s="444"/>
      <c r="C2177" s="445"/>
      <c r="D2177" s="446"/>
      <c r="E2177" s="447" t="s">
        <v>460</v>
      </c>
      <c r="F2177" s="448">
        <v>877528.5</v>
      </c>
      <c r="G2177" s="449">
        <v>877529</v>
      </c>
    </row>
    <row r="2178" spans="2:7" ht="17" thickTop="1" x14ac:dyDescent="0.2">
      <c r="B2178" s="212"/>
      <c r="C2178" s="213"/>
      <c r="D2178" s="212"/>
      <c r="E2178" s="212"/>
      <c r="F2178" s="212"/>
      <c r="G2178" s="212"/>
    </row>
    <row r="2179" spans="2:7" ht="17" thickBot="1" x14ac:dyDescent="0.25">
      <c r="B2179" s="212"/>
      <c r="C2179" s="213"/>
      <c r="D2179" s="212"/>
      <c r="E2179" s="212"/>
      <c r="F2179" s="212"/>
      <c r="G2179" s="212"/>
    </row>
    <row r="2180" spans="2:7" ht="17" thickTop="1" x14ac:dyDescent="0.2">
      <c r="B2180" s="541" t="s">
        <v>115</v>
      </c>
      <c r="C2180" s="542"/>
      <c r="D2180" s="542"/>
      <c r="E2180" s="542"/>
      <c r="F2180" s="416"/>
      <c r="G2180" s="417" t="s">
        <v>618</v>
      </c>
    </row>
    <row r="2181" spans="2:7" x14ac:dyDescent="0.2">
      <c r="B2181" s="543"/>
      <c r="C2181" s="544"/>
      <c r="D2181" s="544"/>
      <c r="E2181" s="544"/>
      <c r="F2181" s="213"/>
      <c r="G2181" s="418" t="s">
        <v>477</v>
      </c>
    </row>
    <row r="2182" spans="2:7" x14ac:dyDescent="0.2">
      <c r="B2182" s="200" t="s">
        <v>1</v>
      </c>
      <c r="C2182" s="169" t="s">
        <v>2</v>
      </c>
      <c r="D2182" s="170" t="s">
        <v>3</v>
      </c>
      <c r="E2182" s="170" t="s">
        <v>441</v>
      </c>
      <c r="F2182" s="222" t="s">
        <v>442</v>
      </c>
      <c r="G2182" s="315" t="s">
        <v>443</v>
      </c>
    </row>
    <row r="2183" spans="2:7" x14ac:dyDescent="0.2">
      <c r="B2183" s="419"/>
      <c r="C2183" s="420"/>
      <c r="D2183" s="421"/>
      <c r="E2183" s="421"/>
      <c r="F2183" s="422"/>
      <c r="G2183" s="350"/>
    </row>
    <row r="2184" spans="2:7" x14ac:dyDescent="0.2">
      <c r="B2184" s="423" t="s">
        <v>444</v>
      </c>
      <c r="C2184" s="420"/>
      <c r="D2184" s="421"/>
      <c r="E2184" s="421"/>
      <c r="F2184" s="422"/>
      <c r="G2184" s="350"/>
    </row>
    <row r="2185" spans="2:7" x14ac:dyDescent="0.2">
      <c r="B2185" s="184"/>
      <c r="C2185" s="185"/>
      <c r="D2185" s="424"/>
      <c r="E2185" s="186"/>
      <c r="F2185" s="222"/>
      <c r="G2185" s="315"/>
    </row>
    <row r="2186" spans="2:7" x14ac:dyDescent="0.2">
      <c r="B2186" s="419"/>
      <c r="C2186" s="420"/>
      <c r="D2186" s="421"/>
      <c r="E2186" s="421"/>
      <c r="F2186" s="422" t="s">
        <v>446</v>
      </c>
      <c r="G2186" s="425" t="s">
        <v>465</v>
      </c>
    </row>
    <row r="2187" spans="2:7" x14ac:dyDescent="0.2">
      <c r="B2187" s="426" t="s">
        <v>447</v>
      </c>
      <c r="C2187" s="420" t="s">
        <v>588</v>
      </c>
      <c r="D2187" s="420" t="s">
        <v>589</v>
      </c>
      <c r="E2187" s="420" t="s">
        <v>590</v>
      </c>
      <c r="F2187" s="427" t="s">
        <v>619</v>
      </c>
      <c r="G2187" s="428" t="s">
        <v>592</v>
      </c>
    </row>
    <row r="2188" spans="2:7" x14ac:dyDescent="0.2">
      <c r="B2188" s="291" t="s">
        <v>620</v>
      </c>
      <c r="C2188" s="429">
        <v>194507.5</v>
      </c>
      <c r="D2188" s="254">
        <v>1.47</v>
      </c>
      <c r="E2188" s="430">
        <v>285926</v>
      </c>
      <c r="F2188" s="431">
        <v>1</v>
      </c>
      <c r="G2188" s="318">
        <v>285926</v>
      </c>
    </row>
    <row r="2189" spans="2:7" x14ac:dyDescent="0.2">
      <c r="B2189" s="195" t="s">
        <v>524</v>
      </c>
      <c r="C2189" s="435">
        <v>107473.5</v>
      </c>
      <c r="D2189" s="362">
        <v>1.47</v>
      </c>
      <c r="E2189" s="363">
        <v>157986</v>
      </c>
      <c r="F2189" s="450">
        <v>1</v>
      </c>
      <c r="G2189" s="311">
        <v>157986</v>
      </c>
    </row>
    <row r="2190" spans="2:7" x14ac:dyDescent="0.2">
      <c r="B2190" s="259" t="s">
        <v>629</v>
      </c>
      <c r="C2190" s="451">
        <v>272539.5</v>
      </c>
      <c r="D2190" s="415">
        <v>1.47</v>
      </c>
      <c r="E2190" s="363">
        <v>400633</v>
      </c>
      <c r="F2190" s="452">
        <v>2.4</v>
      </c>
      <c r="G2190" s="182">
        <v>166930.42000000001</v>
      </c>
    </row>
    <row r="2191" spans="2:7" x14ac:dyDescent="0.2">
      <c r="B2191" s="419"/>
      <c r="C2191" s="420"/>
      <c r="D2191" s="421"/>
      <c r="E2191" s="421"/>
      <c r="F2191" s="422" t="s">
        <v>621</v>
      </c>
      <c r="G2191" s="425">
        <v>610842.42000000004</v>
      </c>
    </row>
    <row r="2192" spans="2:7" x14ac:dyDescent="0.2">
      <c r="B2192" s="423" t="s">
        <v>450</v>
      </c>
      <c r="C2192" s="420"/>
      <c r="D2192" s="421"/>
      <c r="E2192" s="421"/>
      <c r="F2192" s="422"/>
      <c r="G2192" s="350"/>
    </row>
    <row r="2193" spans="2:7" x14ac:dyDescent="0.2">
      <c r="B2193" s="184" t="s">
        <v>568</v>
      </c>
      <c r="C2193" s="185" t="s">
        <v>2</v>
      </c>
      <c r="D2193" s="437">
        <v>5</v>
      </c>
      <c r="E2193" s="186"/>
      <c r="F2193" s="222">
        <v>2100</v>
      </c>
      <c r="G2193" s="315">
        <v>10500</v>
      </c>
    </row>
    <row r="2194" spans="2:7" x14ac:dyDescent="0.2">
      <c r="B2194" s="200" t="s">
        <v>552</v>
      </c>
      <c r="C2194" s="185" t="s">
        <v>2</v>
      </c>
      <c r="D2194" s="437">
        <v>1</v>
      </c>
      <c r="E2194" s="186"/>
      <c r="F2194" s="222">
        <v>1800</v>
      </c>
      <c r="G2194" s="182">
        <v>1800</v>
      </c>
    </row>
    <row r="2195" spans="2:7" x14ac:dyDescent="0.2">
      <c r="B2195" s="200" t="s">
        <v>622</v>
      </c>
      <c r="C2195" s="185" t="s">
        <v>2</v>
      </c>
      <c r="D2195" s="437">
        <v>1</v>
      </c>
      <c r="E2195" s="186"/>
      <c r="F2195" s="222">
        <v>7600</v>
      </c>
      <c r="G2195" s="182">
        <v>7600</v>
      </c>
    </row>
    <row r="2196" spans="2:7" x14ac:dyDescent="0.2">
      <c r="B2196" s="200" t="s">
        <v>623</v>
      </c>
      <c r="C2196" s="185" t="s">
        <v>2</v>
      </c>
      <c r="D2196" s="437">
        <v>1</v>
      </c>
      <c r="E2196" s="186"/>
      <c r="F2196" s="222">
        <v>7600</v>
      </c>
      <c r="G2196" s="182">
        <v>7600</v>
      </c>
    </row>
    <row r="2197" spans="2:7" x14ac:dyDescent="0.2">
      <c r="B2197" s="200" t="s">
        <v>611</v>
      </c>
      <c r="C2197" s="185" t="s">
        <v>2</v>
      </c>
      <c r="D2197" s="437">
        <v>1</v>
      </c>
      <c r="E2197" s="186"/>
      <c r="F2197" s="222">
        <v>2900</v>
      </c>
      <c r="G2197" s="182">
        <v>2900</v>
      </c>
    </row>
    <row r="2198" spans="2:7" x14ac:dyDescent="0.2">
      <c r="B2198" s="200" t="s">
        <v>551</v>
      </c>
      <c r="C2198" s="185" t="s">
        <v>2</v>
      </c>
      <c r="D2198" s="437">
        <v>2</v>
      </c>
      <c r="E2198" s="186"/>
      <c r="F2198" s="222">
        <v>1000</v>
      </c>
      <c r="G2198" s="182">
        <v>2000</v>
      </c>
    </row>
    <row r="2199" spans="2:7" x14ac:dyDescent="0.2">
      <c r="B2199" s="200" t="s">
        <v>569</v>
      </c>
      <c r="C2199" s="185" t="s">
        <v>2</v>
      </c>
      <c r="D2199" s="437">
        <v>3</v>
      </c>
      <c r="E2199" s="186"/>
      <c r="F2199" s="222">
        <v>3700</v>
      </c>
      <c r="G2199" s="182">
        <v>11100</v>
      </c>
    </row>
    <row r="2200" spans="2:7" x14ac:dyDescent="0.2">
      <c r="B2200" s="200" t="s">
        <v>571</v>
      </c>
      <c r="C2200" s="185" t="s">
        <v>2</v>
      </c>
      <c r="D2200" s="437">
        <v>1</v>
      </c>
      <c r="E2200" s="186"/>
      <c r="F2200" s="222">
        <v>1700</v>
      </c>
      <c r="G2200" s="182">
        <v>1700</v>
      </c>
    </row>
    <row r="2201" spans="2:7" x14ac:dyDescent="0.2">
      <c r="B2201" s="200" t="s">
        <v>570</v>
      </c>
      <c r="C2201" s="185" t="s">
        <v>2</v>
      </c>
      <c r="D2201" s="437">
        <v>1</v>
      </c>
      <c r="E2201" s="186"/>
      <c r="F2201" s="222">
        <v>1600</v>
      </c>
      <c r="G2201" s="182">
        <v>1600</v>
      </c>
    </row>
    <row r="2202" spans="2:7" x14ac:dyDescent="0.2">
      <c r="B2202" s="200" t="s">
        <v>612</v>
      </c>
      <c r="C2202" s="185" t="s">
        <v>2</v>
      </c>
      <c r="D2202" s="437">
        <v>1</v>
      </c>
      <c r="E2202" s="186"/>
      <c r="F2202" s="222">
        <v>500</v>
      </c>
      <c r="G2202" s="182">
        <v>500</v>
      </c>
    </row>
    <row r="2203" spans="2:7" x14ac:dyDescent="0.2">
      <c r="B2203" s="419"/>
      <c r="C2203" s="420"/>
      <c r="D2203" s="421"/>
      <c r="E2203" s="421"/>
      <c r="F2203" s="422" t="s">
        <v>624</v>
      </c>
      <c r="G2203" s="425">
        <v>47300</v>
      </c>
    </row>
    <row r="2204" spans="2:7" x14ac:dyDescent="0.2">
      <c r="B2204" s="423" t="s">
        <v>625</v>
      </c>
      <c r="C2204" s="420"/>
      <c r="D2204" s="421"/>
      <c r="E2204" s="421"/>
      <c r="F2204" s="422"/>
      <c r="G2204" s="350"/>
    </row>
    <row r="2205" spans="2:7" x14ac:dyDescent="0.2">
      <c r="B2205" s="184" t="s">
        <v>626</v>
      </c>
      <c r="C2205" s="185" t="s">
        <v>114</v>
      </c>
      <c r="D2205" s="186">
        <v>0.33333333300000001</v>
      </c>
      <c r="E2205" s="186"/>
      <c r="F2205" s="193">
        <v>150000</v>
      </c>
      <c r="G2205" s="315">
        <v>50000</v>
      </c>
    </row>
    <row r="2206" spans="2:7" x14ac:dyDescent="0.2">
      <c r="B2206" s="200" t="s">
        <v>627</v>
      </c>
      <c r="C2206" s="185" t="s">
        <v>114</v>
      </c>
      <c r="D2206" s="186">
        <v>6</v>
      </c>
      <c r="E2206" s="186"/>
      <c r="F2206" s="193">
        <v>6000</v>
      </c>
      <c r="G2206" s="182">
        <v>36000</v>
      </c>
    </row>
    <row r="2207" spans="2:7" x14ac:dyDescent="0.2">
      <c r="B2207" s="239" t="s">
        <v>455</v>
      </c>
      <c r="C2207" s="439" t="s">
        <v>456</v>
      </c>
      <c r="D2207" s="453"/>
      <c r="E2207" s="441"/>
      <c r="F2207" s="442"/>
      <c r="G2207" s="311" t="s">
        <v>465</v>
      </c>
    </row>
    <row r="2208" spans="2:7" x14ac:dyDescent="0.2">
      <c r="B2208" s="419"/>
      <c r="C2208" s="420"/>
      <c r="D2208" s="421"/>
      <c r="E2208" s="421"/>
      <c r="F2208" s="422" t="s">
        <v>628</v>
      </c>
      <c r="G2208" s="443">
        <v>86000</v>
      </c>
    </row>
    <row r="2209" spans="2:7" x14ac:dyDescent="0.2">
      <c r="B2209" s="419"/>
      <c r="C2209" s="420"/>
      <c r="D2209" s="421"/>
      <c r="E2209" s="421"/>
      <c r="F2209" s="422"/>
      <c r="G2209" s="350"/>
    </row>
    <row r="2210" spans="2:7" ht="17" thickBot="1" x14ac:dyDescent="0.25">
      <c r="B2210" s="444"/>
      <c r="C2210" s="445"/>
      <c r="D2210" s="446"/>
      <c r="E2210" s="447" t="s">
        <v>460</v>
      </c>
      <c r="F2210" s="448">
        <v>744142.42</v>
      </c>
      <c r="G2210" s="449">
        <v>744142</v>
      </c>
    </row>
    <row r="2211" spans="2:7" ht="17" thickTop="1" x14ac:dyDescent="0.2">
      <c r="B2211" s="212"/>
      <c r="C2211" s="213"/>
      <c r="D2211" s="212"/>
      <c r="E2211" s="212"/>
      <c r="F2211" s="212"/>
      <c r="G2211" s="212"/>
    </row>
    <row r="2212" spans="2:7" ht="17" thickBot="1" x14ac:dyDescent="0.25">
      <c r="B2212" s="212"/>
      <c r="C2212" s="213"/>
      <c r="D2212" s="212"/>
      <c r="E2212" s="212"/>
      <c r="F2212" s="212"/>
      <c r="G2212" s="212"/>
    </row>
    <row r="2213" spans="2:7" ht="17" thickTop="1" x14ac:dyDescent="0.2">
      <c r="B2213" s="541" t="s">
        <v>116</v>
      </c>
      <c r="C2213" s="542"/>
      <c r="D2213" s="542"/>
      <c r="E2213" s="542"/>
      <c r="F2213" s="416"/>
      <c r="G2213" s="417" t="s">
        <v>618</v>
      </c>
    </row>
    <row r="2214" spans="2:7" x14ac:dyDescent="0.2">
      <c r="B2214" s="543"/>
      <c r="C2214" s="544"/>
      <c r="D2214" s="544"/>
      <c r="E2214" s="544"/>
      <c r="F2214" s="213"/>
      <c r="G2214" s="418" t="s">
        <v>477</v>
      </c>
    </row>
    <row r="2215" spans="2:7" x14ac:dyDescent="0.2">
      <c r="B2215" s="200" t="s">
        <v>1</v>
      </c>
      <c r="C2215" s="169" t="s">
        <v>2</v>
      </c>
      <c r="D2215" s="170" t="s">
        <v>3</v>
      </c>
      <c r="E2215" s="170" t="s">
        <v>441</v>
      </c>
      <c r="F2215" s="222" t="s">
        <v>442</v>
      </c>
      <c r="G2215" s="315" t="s">
        <v>443</v>
      </c>
    </row>
    <row r="2216" spans="2:7" x14ac:dyDescent="0.2">
      <c r="B2216" s="419"/>
      <c r="C2216" s="420"/>
      <c r="D2216" s="421"/>
      <c r="E2216" s="421"/>
      <c r="F2216" s="422"/>
      <c r="G2216" s="350"/>
    </row>
    <row r="2217" spans="2:7" x14ac:dyDescent="0.2">
      <c r="B2217" s="423" t="s">
        <v>444</v>
      </c>
      <c r="C2217" s="420"/>
      <c r="D2217" s="421"/>
      <c r="E2217" s="421"/>
      <c r="F2217" s="422"/>
      <c r="G2217" s="350"/>
    </row>
    <row r="2218" spans="2:7" x14ac:dyDescent="0.2">
      <c r="B2218" s="184"/>
      <c r="C2218" s="185"/>
      <c r="D2218" s="424"/>
      <c r="E2218" s="186"/>
      <c r="F2218" s="222"/>
      <c r="G2218" s="315"/>
    </row>
    <row r="2219" spans="2:7" x14ac:dyDescent="0.2">
      <c r="B2219" s="419"/>
      <c r="C2219" s="420"/>
      <c r="D2219" s="421"/>
      <c r="E2219" s="421"/>
      <c r="F2219" s="422" t="s">
        <v>446</v>
      </c>
      <c r="G2219" s="425" t="s">
        <v>465</v>
      </c>
    </row>
    <row r="2220" spans="2:7" x14ac:dyDescent="0.2">
      <c r="B2220" s="426" t="s">
        <v>447</v>
      </c>
      <c r="C2220" s="420" t="s">
        <v>588</v>
      </c>
      <c r="D2220" s="420" t="s">
        <v>589</v>
      </c>
      <c r="E2220" s="420" t="s">
        <v>590</v>
      </c>
      <c r="F2220" s="427" t="s">
        <v>619</v>
      </c>
      <c r="G2220" s="428" t="s">
        <v>592</v>
      </c>
    </row>
    <row r="2221" spans="2:7" x14ac:dyDescent="0.2">
      <c r="B2221" s="291" t="s">
        <v>620</v>
      </c>
      <c r="C2221" s="429">
        <v>194507.5</v>
      </c>
      <c r="D2221" s="254">
        <v>1.47</v>
      </c>
      <c r="E2221" s="430">
        <v>285926</v>
      </c>
      <c r="F2221" s="431">
        <v>1</v>
      </c>
      <c r="G2221" s="318">
        <v>285926</v>
      </c>
    </row>
    <row r="2222" spans="2:7" x14ac:dyDescent="0.2">
      <c r="B2222" s="195" t="s">
        <v>524</v>
      </c>
      <c r="C2222" s="435">
        <v>107473.5</v>
      </c>
      <c r="D2222" s="362">
        <v>1.47</v>
      </c>
      <c r="E2222" s="363">
        <v>157986</v>
      </c>
      <c r="F2222" s="364">
        <v>1</v>
      </c>
      <c r="G2222" s="311">
        <v>157986</v>
      </c>
    </row>
    <row r="2223" spans="2:7" x14ac:dyDescent="0.2">
      <c r="B2223" s="259" t="s">
        <v>629</v>
      </c>
      <c r="C2223" s="454">
        <v>272539.5</v>
      </c>
      <c r="D2223" s="362">
        <v>1.47</v>
      </c>
      <c r="E2223" s="363">
        <v>400633</v>
      </c>
      <c r="F2223" s="364">
        <v>4.4000000000000004</v>
      </c>
      <c r="G2223" s="182">
        <v>91052.95</v>
      </c>
    </row>
    <row r="2224" spans="2:7" x14ac:dyDescent="0.2">
      <c r="B2224" s="419"/>
      <c r="C2224" s="420"/>
      <c r="D2224" s="421"/>
      <c r="E2224" s="421"/>
      <c r="F2224" s="422" t="s">
        <v>621</v>
      </c>
      <c r="G2224" s="425">
        <v>534964.94999999995</v>
      </c>
    </row>
    <row r="2225" spans="2:7" x14ac:dyDescent="0.2">
      <c r="B2225" s="423" t="s">
        <v>450</v>
      </c>
      <c r="C2225" s="420"/>
      <c r="D2225" s="421"/>
      <c r="E2225" s="421"/>
      <c r="F2225" s="422"/>
      <c r="G2225" s="350"/>
    </row>
    <row r="2226" spans="2:7" x14ac:dyDescent="0.2">
      <c r="B2226" s="184" t="s">
        <v>568</v>
      </c>
      <c r="C2226" s="185" t="s">
        <v>2</v>
      </c>
      <c r="D2226" s="437">
        <v>5</v>
      </c>
      <c r="E2226" s="186"/>
      <c r="F2226" s="222">
        <v>2100</v>
      </c>
      <c r="G2226" s="315">
        <v>10500</v>
      </c>
    </row>
    <row r="2227" spans="2:7" x14ac:dyDescent="0.2">
      <c r="B2227" s="200" t="s">
        <v>552</v>
      </c>
      <c r="C2227" s="185" t="s">
        <v>2</v>
      </c>
      <c r="D2227" s="437">
        <v>1</v>
      </c>
      <c r="E2227" s="186"/>
      <c r="F2227" s="222">
        <v>1800</v>
      </c>
      <c r="G2227" s="182">
        <v>1800</v>
      </c>
    </row>
    <row r="2228" spans="2:7" x14ac:dyDescent="0.2">
      <c r="B2228" s="200" t="s">
        <v>622</v>
      </c>
      <c r="C2228" s="185" t="s">
        <v>2</v>
      </c>
      <c r="D2228" s="437">
        <v>1</v>
      </c>
      <c r="E2228" s="186"/>
      <c r="F2228" s="222">
        <v>7600</v>
      </c>
      <c r="G2228" s="182">
        <v>7600</v>
      </c>
    </row>
    <row r="2229" spans="2:7" x14ac:dyDescent="0.2">
      <c r="B2229" s="200" t="s">
        <v>623</v>
      </c>
      <c r="C2229" s="185" t="s">
        <v>2</v>
      </c>
      <c r="D2229" s="437">
        <v>1</v>
      </c>
      <c r="E2229" s="186"/>
      <c r="F2229" s="222">
        <v>7600</v>
      </c>
      <c r="G2229" s="182">
        <v>7600</v>
      </c>
    </row>
    <row r="2230" spans="2:7" x14ac:dyDescent="0.2">
      <c r="B2230" s="200" t="s">
        <v>611</v>
      </c>
      <c r="C2230" s="185" t="s">
        <v>2</v>
      </c>
      <c r="D2230" s="437">
        <v>1</v>
      </c>
      <c r="E2230" s="186"/>
      <c r="F2230" s="222">
        <v>2900</v>
      </c>
      <c r="G2230" s="182">
        <v>2900</v>
      </c>
    </row>
    <row r="2231" spans="2:7" x14ac:dyDescent="0.2">
      <c r="B2231" s="200" t="s">
        <v>551</v>
      </c>
      <c r="C2231" s="185" t="s">
        <v>2</v>
      </c>
      <c r="D2231" s="437">
        <v>2</v>
      </c>
      <c r="E2231" s="186"/>
      <c r="F2231" s="222">
        <v>1000</v>
      </c>
      <c r="G2231" s="182">
        <v>2000</v>
      </c>
    </row>
    <row r="2232" spans="2:7" x14ac:dyDescent="0.2">
      <c r="B2232" s="200" t="s">
        <v>569</v>
      </c>
      <c r="C2232" s="185" t="s">
        <v>2</v>
      </c>
      <c r="D2232" s="437">
        <v>3</v>
      </c>
      <c r="E2232" s="186"/>
      <c r="F2232" s="222">
        <v>3700</v>
      </c>
      <c r="G2232" s="182">
        <v>11100</v>
      </c>
    </row>
    <row r="2233" spans="2:7" x14ac:dyDescent="0.2">
      <c r="B2233" s="200" t="s">
        <v>571</v>
      </c>
      <c r="C2233" s="185" t="s">
        <v>2</v>
      </c>
      <c r="D2233" s="437">
        <v>1</v>
      </c>
      <c r="E2233" s="186"/>
      <c r="F2233" s="222">
        <v>1700</v>
      </c>
      <c r="G2233" s="182">
        <v>1700</v>
      </c>
    </row>
    <row r="2234" spans="2:7" x14ac:dyDescent="0.2">
      <c r="B2234" s="200" t="s">
        <v>570</v>
      </c>
      <c r="C2234" s="185" t="s">
        <v>2</v>
      </c>
      <c r="D2234" s="437">
        <v>1</v>
      </c>
      <c r="E2234" s="186"/>
      <c r="F2234" s="222">
        <v>1600</v>
      </c>
      <c r="G2234" s="182">
        <v>1600</v>
      </c>
    </row>
    <row r="2235" spans="2:7" x14ac:dyDescent="0.2">
      <c r="B2235" s="200" t="s">
        <v>612</v>
      </c>
      <c r="C2235" s="185" t="s">
        <v>2</v>
      </c>
      <c r="D2235" s="437">
        <v>1</v>
      </c>
      <c r="E2235" s="186"/>
      <c r="F2235" s="222">
        <v>500</v>
      </c>
      <c r="G2235" s="182">
        <v>500</v>
      </c>
    </row>
    <row r="2236" spans="2:7" x14ac:dyDescent="0.2">
      <c r="B2236" s="419"/>
      <c r="C2236" s="420"/>
      <c r="D2236" s="421"/>
      <c r="E2236" s="421"/>
      <c r="F2236" s="422" t="s">
        <v>624</v>
      </c>
      <c r="G2236" s="425">
        <v>47300</v>
      </c>
    </row>
    <row r="2237" spans="2:7" x14ac:dyDescent="0.2">
      <c r="B2237" s="423" t="s">
        <v>625</v>
      </c>
      <c r="C2237" s="420"/>
      <c r="D2237" s="421"/>
      <c r="E2237" s="421"/>
      <c r="F2237" s="422"/>
      <c r="G2237" s="350"/>
    </row>
    <row r="2238" spans="2:7" x14ac:dyDescent="0.2">
      <c r="B2238" s="184" t="s">
        <v>626</v>
      </c>
      <c r="C2238" s="185" t="s">
        <v>114</v>
      </c>
      <c r="D2238" s="186">
        <v>0.22727272700000001</v>
      </c>
      <c r="E2238" s="186"/>
      <c r="F2238" s="193">
        <v>150000</v>
      </c>
      <c r="G2238" s="315">
        <v>34090.9</v>
      </c>
    </row>
    <row r="2239" spans="2:7" x14ac:dyDescent="0.2">
      <c r="B2239" s="200" t="s">
        <v>627</v>
      </c>
      <c r="C2239" s="185" t="s">
        <v>114</v>
      </c>
      <c r="D2239" s="186">
        <v>6</v>
      </c>
      <c r="E2239" s="186"/>
      <c r="F2239" s="193">
        <v>6000</v>
      </c>
      <c r="G2239" s="182">
        <v>36000</v>
      </c>
    </row>
    <row r="2240" spans="2:7" x14ac:dyDescent="0.2">
      <c r="B2240" s="239" t="s">
        <v>455</v>
      </c>
      <c r="C2240" s="439" t="s">
        <v>456</v>
      </c>
      <c r="D2240" s="453"/>
      <c r="E2240" s="441"/>
      <c r="F2240" s="442"/>
      <c r="G2240" s="311" t="s">
        <v>465</v>
      </c>
    </row>
    <row r="2241" spans="2:7" x14ac:dyDescent="0.2">
      <c r="B2241" s="419"/>
      <c r="C2241" s="420"/>
      <c r="D2241" s="421"/>
      <c r="E2241" s="421"/>
      <c r="F2241" s="422" t="s">
        <v>628</v>
      </c>
      <c r="G2241" s="443">
        <v>70090.899999999994</v>
      </c>
    </row>
    <row r="2242" spans="2:7" x14ac:dyDescent="0.2">
      <c r="B2242" s="419"/>
      <c r="C2242" s="420"/>
      <c r="D2242" s="421"/>
      <c r="E2242" s="421"/>
      <c r="F2242" s="422"/>
      <c r="G2242" s="350"/>
    </row>
    <row r="2243" spans="2:7" ht="17" thickBot="1" x14ac:dyDescent="0.25">
      <c r="B2243" s="444"/>
      <c r="C2243" s="445"/>
      <c r="D2243" s="446"/>
      <c r="E2243" s="447" t="s">
        <v>460</v>
      </c>
      <c r="F2243" s="448">
        <v>652355.85</v>
      </c>
      <c r="G2243" s="449">
        <v>652356</v>
      </c>
    </row>
    <row r="2244" spans="2:7" ht="17" thickTop="1" x14ac:dyDescent="0.2">
      <c r="B2244" s="212"/>
      <c r="C2244" s="213"/>
      <c r="D2244" s="212"/>
      <c r="E2244" s="212"/>
      <c r="F2244" s="212"/>
      <c r="G2244" s="212"/>
    </row>
    <row r="2245" spans="2:7" ht="17" thickBot="1" x14ac:dyDescent="0.25">
      <c r="B2245" s="212"/>
      <c r="C2245" s="213"/>
      <c r="D2245" s="212"/>
      <c r="E2245" s="212"/>
      <c r="F2245" s="212"/>
      <c r="G2245" s="212"/>
    </row>
    <row r="2246" spans="2:7" ht="17" thickTop="1" x14ac:dyDescent="0.2">
      <c r="B2246" s="541" t="s">
        <v>117</v>
      </c>
      <c r="C2246" s="542"/>
      <c r="D2246" s="542"/>
      <c r="E2246" s="542"/>
      <c r="F2246" s="416"/>
      <c r="G2246" s="417" t="s">
        <v>618</v>
      </c>
    </row>
    <row r="2247" spans="2:7" x14ac:dyDescent="0.2">
      <c r="B2247" s="543"/>
      <c r="C2247" s="544"/>
      <c r="D2247" s="544"/>
      <c r="E2247" s="544"/>
      <c r="F2247" s="213"/>
      <c r="G2247" s="418" t="s">
        <v>477</v>
      </c>
    </row>
    <row r="2248" spans="2:7" x14ac:dyDescent="0.2">
      <c r="B2248" s="200" t="s">
        <v>1</v>
      </c>
      <c r="C2248" s="169" t="s">
        <v>2</v>
      </c>
      <c r="D2248" s="170" t="s">
        <v>3</v>
      </c>
      <c r="E2248" s="170" t="s">
        <v>441</v>
      </c>
      <c r="F2248" s="222" t="s">
        <v>442</v>
      </c>
      <c r="G2248" s="315" t="s">
        <v>443</v>
      </c>
    </row>
    <row r="2249" spans="2:7" x14ac:dyDescent="0.2">
      <c r="B2249" s="419"/>
      <c r="C2249" s="420"/>
      <c r="D2249" s="421"/>
      <c r="E2249" s="421"/>
      <c r="F2249" s="422"/>
      <c r="G2249" s="350"/>
    </row>
    <row r="2250" spans="2:7" x14ac:dyDescent="0.2">
      <c r="B2250" s="423" t="s">
        <v>444</v>
      </c>
      <c r="C2250" s="420"/>
      <c r="D2250" s="421"/>
      <c r="E2250" s="421"/>
      <c r="F2250" s="422"/>
      <c r="G2250" s="350"/>
    </row>
    <row r="2251" spans="2:7" x14ac:dyDescent="0.2">
      <c r="B2251" s="184"/>
      <c r="C2251" s="185"/>
      <c r="D2251" s="424"/>
      <c r="E2251" s="186"/>
      <c r="F2251" s="222"/>
      <c r="G2251" s="315"/>
    </row>
    <row r="2252" spans="2:7" x14ac:dyDescent="0.2">
      <c r="B2252" s="419"/>
      <c r="C2252" s="420"/>
      <c r="D2252" s="421"/>
      <c r="E2252" s="421"/>
      <c r="F2252" s="422" t="s">
        <v>446</v>
      </c>
      <c r="G2252" s="425" t="s">
        <v>465</v>
      </c>
    </row>
    <row r="2253" spans="2:7" x14ac:dyDescent="0.2">
      <c r="B2253" s="426" t="s">
        <v>447</v>
      </c>
      <c r="C2253" s="420" t="s">
        <v>588</v>
      </c>
      <c r="D2253" s="420" t="s">
        <v>589</v>
      </c>
      <c r="E2253" s="420" t="s">
        <v>590</v>
      </c>
      <c r="F2253" s="427" t="s">
        <v>619</v>
      </c>
      <c r="G2253" s="428" t="s">
        <v>592</v>
      </c>
    </row>
    <row r="2254" spans="2:7" x14ac:dyDescent="0.2">
      <c r="B2254" s="291" t="s">
        <v>630</v>
      </c>
      <c r="C2254" s="429">
        <v>286306</v>
      </c>
      <c r="D2254" s="254">
        <v>1.47</v>
      </c>
      <c r="E2254" s="430">
        <v>420869</v>
      </c>
      <c r="F2254" s="455">
        <v>1</v>
      </c>
      <c r="G2254" s="318">
        <v>420869</v>
      </c>
    </row>
    <row r="2255" spans="2:7" x14ac:dyDescent="0.2">
      <c r="B2255" s="195" t="s">
        <v>524</v>
      </c>
      <c r="C2255" s="435">
        <v>107473.5</v>
      </c>
      <c r="D2255" s="362">
        <v>1.47</v>
      </c>
      <c r="E2255" s="363">
        <v>157986</v>
      </c>
      <c r="F2255" s="364">
        <v>1</v>
      </c>
      <c r="G2255" s="311">
        <v>157986</v>
      </c>
    </row>
    <row r="2256" spans="2:7" x14ac:dyDescent="0.2">
      <c r="B2256" s="259" t="s">
        <v>629</v>
      </c>
      <c r="C2256" s="454">
        <v>272539.5</v>
      </c>
      <c r="D2256" s="362">
        <v>1.47</v>
      </c>
      <c r="E2256" s="363">
        <v>400633</v>
      </c>
      <c r="F2256" s="364">
        <v>2</v>
      </c>
      <c r="G2256" s="182">
        <v>200316.5</v>
      </c>
    </row>
    <row r="2257" spans="2:7" x14ac:dyDescent="0.2">
      <c r="B2257" s="419"/>
      <c r="C2257" s="420"/>
      <c r="D2257" s="421"/>
      <c r="E2257" s="421"/>
      <c r="F2257" s="422" t="s">
        <v>621</v>
      </c>
      <c r="G2257" s="425">
        <v>779171.5</v>
      </c>
    </row>
    <row r="2258" spans="2:7" x14ac:dyDescent="0.2">
      <c r="B2258" s="423" t="s">
        <v>450</v>
      </c>
      <c r="C2258" s="420"/>
      <c r="D2258" s="421"/>
      <c r="E2258" s="421"/>
      <c r="F2258" s="422"/>
      <c r="G2258" s="350"/>
    </row>
    <row r="2259" spans="2:7" x14ac:dyDescent="0.2">
      <c r="B2259" s="184" t="s">
        <v>568</v>
      </c>
      <c r="C2259" s="185" t="s">
        <v>2</v>
      </c>
      <c r="D2259" s="437">
        <v>5</v>
      </c>
      <c r="E2259" s="186"/>
      <c r="F2259" s="222">
        <v>2100</v>
      </c>
      <c r="G2259" s="315">
        <v>10500</v>
      </c>
    </row>
    <row r="2260" spans="2:7" x14ac:dyDescent="0.2">
      <c r="B2260" s="200" t="s">
        <v>552</v>
      </c>
      <c r="C2260" s="185" t="s">
        <v>2</v>
      </c>
      <c r="D2260" s="437">
        <v>1</v>
      </c>
      <c r="E2260" s="186"/>
      <c r="F2260" s="222">
        <v>1800</v>
      </c>
      <c r="G2260" s="182">
        <v>1800</v>
      </c>
    </row>
    <row r="2261" spans="2:7" x14ac:dyDescent="0.2">
      <c r="B2261" s="200" t="s">
        <v>622</v>
      </c>
      <c r="C2261" s="185" t="s">
        <v>2</v>
      </c>
      <c r="D2261" s="437">
        <v>1</v>
      </c>
      <c r="E2261" s="186"/>
      <c r="F2261" s="222">
        <v>7600</v>
      </c>
      <c r="G2261" s="182">
        <v>7600</v>
      </c>
    </row>
    <row r="2262" spans="2:7" x14ac:dyDescent="0.2">
      <c r="B2262" s="200" t="s">
        <v>623</v>
      </c>
      <c r="C2262" s="185" t="s">
        <v>2</v>
      </c>
      <c r="D2262" s="437">
        <v>1</v>
      </c>
      <c r="E2262" s="186"/>
      <c r="F2262" s="222">
        <v>7600</v>
      </c>
      <c r="G2262" s="182">
        <v>7600</v>
      </c>
    </row>
    <row r="2263" spans="2:7" x14ac:dyDescent="0.2">
      <c r="B2263" s="200" t="s">
        <v>611</v>
      </c>
      <c r="C2263" s="185" t="s">
        <v>2</v>
      </c>
      <c r="D2263" s="437">
        <v>1</v>
      </c>
      <c r="E2263" s="186"/>
      <c r="F2263" s="222">
        <v>2900</v>
      </c>
      <c r="G2263" s="182">
        <v>2900</v>
      </c>
    </row>
    <row r="2264" spans="2:7" x14ac:dyDescent="0.2">
      <c r="B2264" s="200" t="s">
        <v>551</v>
      </c>
      <c r="C2264" s="185" t="s">
        <v>2</v>
      </c>
      <c r="D2264" s="437">
        <v>2</v>
      </c>
      <c r="E2264" s="186"/>
      <c r="F2264" s="222">
        <v>1000</v>
      </c>
      <c r="G2264" s="182">
        <v>2000</v>
      </c>
    </row>
    <row r="2265" spans="2:7" x14ac:dyDescent="0.2">
      <c r="B2265" s="200" t="s">
        <v>569</v>
      </c>
      <c r="C2265" s="185" t="s">
        <v>2</v>
      </c>
      <c r="D2265" s="437">
        <v>3</v>
      </c>
      <c r="E2265" s="186"/>
      <c r="F2265" s="222">
        <v>3700</v>
      </c>
      <c r="G2265" s="182">
        <v>11100</v>
      </c>
    </row>
    <row r="2266" spans="2:7" x14ac:dyDescent="0.2">
      <c r="B2266" s="200" t="s">
        <v>571</v>
      </c>
      <c r="C2266" s="185" t="s">
        <v>2</v>
      </c>
      <c r="D2266" s="437">
        <v>1</v>
      </c>
      <c r="E2266" s="186"/>
      <c r="F2266" s="222">
        <v>1700</v>
      </c>
      <c r="G2266" s="182">
        <v>1700</v>
      </c>
    </row>
    <row r="2267" spans="2:7" x14ac:dyDescent="0.2">
      <c r="B2267" s="200" t="s">
        <v>570</v>
      </c>
      <c r="C2267" s="185" t="s">
        <v>2</v>
      </c>
      <c r="D2267" s="437">
        <v>1</v>
      </c>
      <c r="E2267" s="186"/>
      <c r="F2267" s="222">
        <v>1600</v>
      </c>
      <c r="G2267" s="182">
        <v>1600</v>
      </c>
    </row>
    <row r="2268" spans="2:7" x14ac:dyDescent="0.2">
      <c r="B2268" s="200" t="s">
        <v>612</v>
      </c>
      <c r="C2268" s="185" t="s">
        <v>2</v>
      </c>
      <c r="D2268" s="437">
        <v>1</v>
      </c>
      <c r="E2268" s="186"/>
      <c r="F2268" s="222">
        <v>500</v>
      </c>
      <c r="G2268" s="182">
        <v>500</v>
      </c>
    </row>
    <row r="2269" spans="2:7" x14ac:dyDescent="0.2">
      <c r="B2269" s="419"/>
      <c r="C2269" s="420"/>
      <c r="D2269" s="421"/>
      <c r="E2269" s="421"/>
      <c r="F2269" s="422" t="s">
        <v>624</v>
      </c>
      <c r="G2269" s="425">
        <v>47300</v>
      </c>
    </row>
    <row r="2270" spans="2:7" x14ac:dyDescent="0.2">
      <c r="B2270" s="423" t="s">
        <v>625</v>
      </c>
      <c r="C2270" s="420"/>
      <c r="D2270" s="421"/>
      <c r="E2270" s="421"/>
      <c r="F2270" s="422"/>
      <c r="G2270" s="350"/>
    </row>
    <row r="2271" spans="2:7" x14ac:dyDescent="0.2">
      <c r="B2271" s="184" t="s">
        <v>626</v>
      </c>
      <c r="C2271" s="185" t="s">
        <v>114</v>
      </c>
      <c r="D2271" s="186">
        <v>1</v>
      </c>
      <c r="E2271" s="186"/>
      <c r="F2271" s="193">
        <v>150000</v>
      </c>
      <c r="G2271" s="315">
        <v>150000</v>
      </c>
    </row>
    <row r="2272" spans="2:7" x14ac:dyDescent="0.2">
      <c r="B2272" s="200" t="s">
        <v>627</v>
      </c>
      <c r="C2272" s="185" t="s">
        <v>114</v>
      </c>
      <c r="D2272" s="186">
        <v>8</v>
      </c>
      <c r="E2272" s="186"/>
      <c r="F2272" s="193">
        <v>6000</v>
      </c>
      <c r="G2272" s="182">
        <v>48000</v>
      </c>
    </row>
    <row r="2273" spans="2:7" x14ac:dyDescent="0.2">
      <c r="B2273" s="239" t="s">
        <v>455</v>
      </c>
      <c r="C2273" s="439" t="s">
        <v>456</v>
      </c>
      <c r="D2273" s="453"/>
      <c r="E2273" s="441"/>
      <c r="F2273" s="442"/>
      <c r="G2273" s="311" t="s">
        <v>465</v>
      </c>
    </row>
    <row r="2274" spans="2:7" x14ac:dyDescent="0.2">
      <c r="B2274" s="419"/>
      <c r="C2274" s="420"/>
      <c r="D2274" s="421"/>
      <c r="E2274" s="421"/>
      <c r="F2274" s="422" t="s">
        <v>628</v>
      </c>
      <c r="G2274" s="443">
        <v>198000</v>
      </c>
    </row>
    <row r="2275" spans="2:7" x14ac:dyDescent="0.2">
      <c r="B2275" s="419"/>
      <c r="C2275" s="420"/>
      <c r="D2275" s="421"/>
      <c r="E2275" s="421"/>
      <c r="F2275" s="422"/>
      <c r="G2275" s="350"/>
    </row>
    <row r="2276" spans="2:7" ht="17" thickBot="1" x14ac:dyDescent="0.25">
      <c r="B2276" s="444"/>
      <c r="C2276" s="445"/>
      <c r="D2276" s="446"/>
      <c r="E2276" s="447" t="s">
        <v>460</v>
      </c>
      <c r="F2276" s="448">
        <v>1024471.5</v>
      </c>
      <c r="G2276" s="449">
        <v>1024472</v>
      </c>
    </row>
    <row r="2277" spans="2:7" ht="17" thickTop="1" x14ac:dyDescent="0.2">
      <c r="B2277" s="212"/>
      <c r="C2277" s="213"/>
      <c r="D2277" s="212"/>
      <c r="E2277" s="212"/>
      <c r="F2277" s="212"/>
      <c r="G2277" s="212"/>
    </row>
    <row r="2278" spans="2:7" ht="17" thickBot="1" x14ac:dyDescent="0.25">
      <c r="B2278" s="212"/>
      <c r="C2278" s="213"/>
      <c r="D2278" s="212"/>
      <c r="E2278" s="212"/>
      <c r="F2278" s="212"/>
      <c r="G2278" s="212"/>
    </row>
    <row r="2279" spans="2:7" ht="17" thickTop="1" x14ac:dyDescent="0.2">
      <c r="B2279" s="541" t="s">
        <v>118</v>
      </c>
      <c r="C2279" s="542"/>
      <c r="D2279" s="542"/>
      <c r="E2279" s="542"/>
      <c r="F2279" s="416"/>
      <c r="G2279" s="417" t="s">
        <v>618</v>
      </c>
    </row>
    <row r="2280" spans="2:7" x14ac:dyDescent="0.2">
      <c r="B2280" s="543"/>
      <c r="C2280" s="544"/>
      <c r="D2280" s="544"/>
      <c r="E2280" s="544"/>
      <c r="F2280" s="213"/>
      <c r="G2280" s="418" t="s">
        <v>477</v>
      </c>
    </row>
    <row r="2281" spans="2:7" x14ac:dyDescent="0.2">
      <c r="B2281" s="200" t="s">
        <v>1</v>
      </c>
      <c r="C2281" s="169" t="s">
        <v>2</v>
      </c>
      <c r="D2281" s="170" t="s">
        <v>3</v>
      </c>
      <c r="E2281" s="170" t="s">
        <v>441</v>
      </c>
      <c r="F2281" s="222" t="s">
        <v>442</v>
      </c>
      <c r="G2281" s="315" t="s">
        <v>443</v>
      </c>
    </row>
    <row r="2282" spans="2:7" x14ac:dyDescent="0.2">
      <c r="B2282" s="419"/>
      <c r="C2282" s="420"/>
      <c r="D2282" s="421"/>
      <c r="E2282" s="421"/>
      <c r="F2282" s="422"/>
      <c r="G2282" s="350"/>
    </row>
    <row r="2283" spans="2:7" x14ac:dyDescent="0.2">
      <c r="B2283" s="423" t="s">
        <v>444</v>
      </c>
      <c r="C2283" s="420"/>
      <c r="D2283" s="421"/>
      <c r="E2283" s="421"/>
      <c r="F2283" s="422"/>
      <c r="G2283" s="350"/>
    </row>
    <row r="2284" spans="2:7" x14ac:dyDescent="0.2">
      <c r="B2284" s="184"/>
      <c r="C2284" s="185"/>
      <c r="D2284" s="424"/>
      <c r="E2284" s="186"/>
      <c r="F2284" s="222"/>
      <c r="G2284" s="315"/>
    </row>
    <row r="2285" spans="2:7" x14ac:dyDescent="0.2">
      <c r="B2285" s="419"/>
      <c r="C2285" s="420"/>
      <c r="D2285" s="421"/>
      <c r="E2285" s="421"/>
      <c r="F2285" s="422" t="s">
        <v>446</v>
      </c>
      <c r="G2285" s="425" t="s">
        <v>465</v>
      </c>
    </row>
    <row r="2286" spans="2:7" x14ac:dyDescent="0.2">
      <c r="B2286" s="426" t="s">
        <v>447</v>
      </c>
      <c r="C2286" s="420" t="s">
        <v>588</v>
      </c>
      <c r="D2286" s="420" t="s">
        <v>589</v>
      </c>
      <c r="E2286" s="420" t="s">
        <v>590</v>
      </c>
      <c r="F2286" s="427" t="s">
        <v>619</v>
      </c>
      <c r="G2286" s="428" t="s">
        <v>592</v>
      </c>
    </row>
    <row r="2287" spans="2:7" x14ac:dyDescent="0.2">
      <c r="B2287" s="291" t="s">
        <v>630</v>
      </c>
      <c r="C2287" s="429">
        <v>286306</v>
      </c>
      <c r="D2287" s="254">
        <v>1.47</v>
      </c>
      <c r="E2287" s="430">
        <v>420869</v>
      </c>
      <c r="F2287" s="455">
        <v>1</v>
      </c>
      <c r="G2287" s="318">
        <v>420869</v>
      </c>
    </row>
    <row r="2288" spans="2:7" x14ac:dyDescent="0.2">
      <c r="B2288" s="195" t="s">
        <v>524</v>
      </c>
      <c r="C2288" s="435">
        <v>107473.5</v>
      </c>
      <c r="D2288" s="362">
        <v>1.47</v>
      </c>
      <c r="E2288" s="363">
        <v>157986</v>
      </c>
      <c r="F2288" s="364">
        <v>1</v>
      </c>
      <c r="G2288" s="311">
        <v>157986</v>
      </c>
    </row>
    <row r="2289" spans="2:7" x14ac:dyDescent="0.2">
      <c r="B2289" s="259" t="s">
        <v>629</v>
      </c>
      <c r="C2289" s="454">
        <v>272539.5</v>
      </c>
      <c r="D2289" s="362">
        <v>1.47</v>
      </c>
      <c r="E2289" s="363">
        <v>400633</v>
      </c>
      <c r="F2289" s="364">
        <v>2.4</v>
      </c>
      <c r="G2289" s="182">
        <v>166930.42000000001</v>
      </c>
    </row>
    <row r="2290" spans="2:7" x14ac:dyDescent="0.2">
      <c r="B2290" s="419"/>
      <c r="C2290" s="420"/>
      <c r="D2290" s="421"/>
      <c r="E2290" s="421"/>
      <c r="F2290" s="422" t="s">
        <v>621</v>
      </c>
      <c r="G2290" s="425">
        <v>745785.42</v>
      </c>
    </row>
    <row r="2291" spans="2:7" x14ac:dyDescent="0.2">
      <c r="B2291" s="423" t="s">
        <v>450</v>
      </c>
      <c r="C2291" s="420"/>
      <c r="D2291" s="421"/>
      <c r="E2291" s="421"/>
      <c r="F2291" s="422"/>
      <c r="G2291" s="350"/>
    </row>
    <row r="2292" spans="2:7" x14ac:dyDescent="0.2">
      <c r="B2292" s="184" t="s">
        <v>568</v>
      </c>
      <c r="C2292" s="185" t="s">
        <v>2</v>
      </c>
      <c r="D2292" s="437">
        <v>5</v>
      </c>
      <c r="E2292" s="186"/>
      <c r="F2292" s="222">
        <v>2100</v>
      </c>
      <c r="G2292" s="315">
        <v>10500</v>
      </c>
    </row>
    <row r="2293" spans="2:7" x14ac:dyDescent="0.2">
      <c r="B2293" s="200" t="s">
        <v>552</v>
      </c>
      <c r="C2293" s="185" t="s">
        <v>2</v>
      </c>
      <c r="D2293" s="437">
        <v>1</v>
      </c>
      <c r="E2293" s="186"/>
      <c r="F2293" s="222">
        <v>1800</v>
      </c>
      <c r="G2293" s="182">
        <v>1800</v>
      </c>
    </row>
    <row r="2294" spans="2:7" x14ac:dyDescent="0.2">
      <c r="B2294" s="200" t="s">
        <v>622</v>
      </c>
      <c r="C2294" s="185" t="s">
        <v>2</v>
      </c>
      <c r="D2294" s="437">
        <v>1</v>
      </c>
      <c r="E2294" s="186"/>
      <c r="F2294" s="222">
        <v>7600</v>
      </c>
      <c r="G2294" s="182">
        <v>7600</v>
      </c>
    </row>
    <row r="2295" spans="2:7" x14ac:dyDescent="0.2">
      <c r="B2295" s="200" t="s">
        <v>623</v>
      </c>
      <c r="C2295" s="185" t="s">
        <v>2</v>
      </c>
      <c r="D2295" s="437">
        <v>1</v>
      </c>
      <c r="E2295" s="186"/>
      <c r="F2295" s="222">
        <v>7600</v>
      </c>
      <c r="G2295" s="182">
        <v>7600</v>
      </c>
    </row>
    <row r="2296" spans="2:7" x14ac:dyDescent="0.2">
      <c r="B2296" s="200" t="s">
        <v>611</v>
      </c>
      <c r="C2296" s="185" t="s">
        <v>2</v>
      </c>
      <c r="D2296" s="437">
        <v>1</v>
      </c>
      <c r="E2296" s="186"/>
      <c r="F2296" s="222">
        <v>2900</v>
      </c>
      <c r="G2296" s="182">
        <v>2900</v>
      </c>
    </row>
    <row r="2297" spans="2:7" x14ac:dyDescent="0.2">
      <c r="B2297" s="200" t="s">
        <v>551</v>
      </c>
      <c r="C2297" s="185" t="s">
        <v>2</v>
      </c>
      <c r="D2297" s="437">
        <v>2</v>
      </c>
      <c r="E2297" s="186"/>
      <c r="F2297" s="222">
        <v>1000</v>
      </c>
      <c r="G2297" s="182">
        <v>2000</v>
      </c>
    </row>
    <row r="2298" spans="2:7" x14ac:dyDescent="0.2">
      <c r="B2298" s="200" t="s">
        <v>569</v>
      </c>
      <c r="C2298" s="185" t="s">
        <v>2</v>
      </c>
      <c r="D2298" s="437">
        <v>4</v>
      </c>
      <c r="E2298" s="186"/>
      <c r="F2298" s="222">
        <v>3700</v>
      </c>
      <c r="G2298" s="182">
        <v>14800</v>
      </c>
    </row>
    <row r="2299" spans="2:7" x14ac:dyDescent="0.2">
      <c r="B2299" s="200" t="s">
        <v>571</v>
      </c>
      <c r="C2299" s="185" t="s">
        <v>2</v>
      </c>
      <c r="D2299" s="437">
        <v>1</v>
      </c>
      <c r="E2299" s="186"/>
      <c r="F2299" s="222">
        <v>1700</v>
      </c>
      <c r="G2299" s="182">
        <v>1700</v>
      </c>
    </row>
    <row r="2300" spans="2:7" x14ac:dyDescent="0.2">
      <c r="B2300" s="200" t="s">
        <v>570</v>
      </c>
      <c r="C2300" s="185" t="s">
        <v>2</v>
      </c>
      <c r="D2300" s="437">
        <v>1</v>
      </c>
      <c r="E2300" s="186"/>
      <c r="F2300" s="222">
        <v>1600</v>
      </c>
      <c r="G2300" s="182">
        <v>1600</v>
      </c>
    </row>
    <row r="2301" spans="2:7" x14ac:dyDescent="0.2">
      <c r="B2301" s="200" t="s">
        <v>612</v>
      </c>
      <c r="C2301" s="185" t="s">
        <v>2</v>
      </c>
      <c r="D2301" s="437">
        <v>1</v>
      </c>
      <c r="E2301" s="186"/>
      <c r="F2301" s="222">
        <v>500</v>
      </c>
      <c r="G2301" s="182">
        <v>500</v>
      </c>
    </row>
    <row r="2302" spans="2:7" x14ac:dyDescent="0.2">
      <c r="B2302" s="419"/>
      <c r="C2302" s="420"/>
      <c r="D2302" s="421"/>
      <c r="E2302" s="421"/>
      <c r="F2302" s="422" t="s">
        <v>624</v>
      </c>
      <c r="G2302" s="425">
        <v>51000</v>
      </c>
    </row>
    <row r="2303" spans="2:7" x14ac:dyDescent="0.2">
      <c r="B2303" s="423" t="s">
        <v>625</v>
      </c>
      <c r="C2303" s="420"/>
      <c r="D2303" s="421"/>
      <c r="E2303" s="421"/>
      <c r="F2303" s="422"/>
      <c r="G2303" s="350"/>
    </row>
    <row r="2304" spans="2:7" x14ac:dyDescent="0.2">
      <c r="B2304" s="184" t="s">
        <v>626</v>
      </c>
      <c r="C2304" s="185" t="s">
        <v>114</v>
      </c>
      <c r="D2304" s="186">
        <v>0.33333333300000001</v>
      </c>
      <c r="E2304" s="186"/>
      <c r="F2304" s="193">
        <v>150000</v>
      </c>
      <c r="G2304" s="315">
        <v>50000</v>
      </c>
    </row>
    <row r="2305" spans="2:7" x14ac:dyDescent="0.2">
      <c r="B2305" s="200" t="s">
        <v>627</v>
      </c>
      <c r="C2305" s="185" t="s">
        <v>114</v>
      </c>
      <c r="D2305" s="186">
        <v>8</v>
      </c>
      <c r="E2305" s="186"/>
      <c r="F2305" s="193">
        <v>6000</v>
      </c>
      <c r="G2305" s="182">
        <v>48000</v>
      </c>
    </row>
    <row r="2306" spans="2:7" x14ac:dyDescent="0.2">
      <c r="B2306" s="239" t="s">
        <v>455</v>
      </c>
      <c r="C2306" s="439" t="s">
        <v>456</v>
      </c>
      <c r="D2306" s="453"/>
      <c r="E2306" s="441"/>
      <c r="F2306" s="442"/>
      <c r="G2306" s="311" t="s">
        <v>465</v>
      </c>
    </row>
    <row r="2307" spans="2:7" x14ac:dyDescent="0.2">
      <c r="B2307" s="419"/>
      <c r="C2307" s="420"/>
      <c r="D2307" s="421"/>
      <c r="E2307" s="421"/>
      <c r="F2307" s="422" t="s">
        <v>628</v>
      </c>
      <c r="G2307" s="443">
        <v>98000</v>
      </c>
    </row>
    <row r="2308" spans="2:7" x14ac:dyDescent="0.2">
      <c r="B2308" s="419"/>
      <c r="C2308" s="420"/>
      <c r="D2308" s="421"/>
      <c r="E2308" s="421"/>
      <c r="F2308" s="422"/>
      <c r="G2308" s="350"/>
    </row>
    <row r="2309" spans="2:7" ht="17" thickBot="1" x14ac:dyDescent="0.25">
      <c r="B2309" s="444"/>
      <c r="C2309" s="445"/>
      <c r="D2309" s="446"/>
      <c r="E2309" s="447" t="s">
        <v>460</v>
      </c>
      <c r="F2309" s="448">
        <v>894785.42</v>
      </c>
      <c r="G2309" s="449">
        <v>894785</v>
      </c>
    </row>
    <row r="2310" spans="2:7" ht="17" thickTop="1" x14ac:dyDescent="0.2">
      <c r="B2310" s="212"/>
      <c r="C2310" s="213"/>
      <c r="D2310" s="212"/>
      <c r="E2310" s="212"/>
      <c r="F2310" s="212"/>
      <c r="G2310" s="212"/>
    </row>
    <row r="2311" spans="2:7" ht="17" thickBot="1" x14ac:dyDescent="0.25">
      <c r="B2311" s="212"/>
      <c r="C2311" s="213"/>
      <c r="D2311" s="212"/>
      <c r="E2311" s="212"/>
      <c r="F2311" s="212"/>
      <c r="G2311" s="212"/>
    </row>
    <row r="2312" spans="2:7" ht="17" thickTop="1" x14ac:dyDescent="0.2">
      <c r="B2312" s="541" t="s">
        <v>119</v>
      </c>
      <c r="C2312" s="542"/>
      <c r="D2312" s="542"/>
      <c r="E2312" s="542"/>
      <c r="F2312" s="416"/>
      <c r="G2312" s="417" t="s">
        <v>618</v>
      </c>
    </row>
    <row r="2313" spans="2:7" x14ac:dyDescent="0.2">
      <c r="B2313" s="543"/>
      <c r="C2313" s="544"/>
      <c r="D2313" s="544"/>
      <c r="E2313" s="544"/>
      <c r="F2313" s="213"/>
      <c r="G2313" s="418" t="s">
        <v>477</v>
      </c>
    </row>
    <row r="2314" spans="2:7" x14ac:dyDescent="0.2">
      <c r="B2314" s="200" t="s">
        <v>1</v>
      </c>
      <c r="C2314" s="169" t="s">
        <v>2</v>
      </c>
      <c r="D2314" s="170" t="s">
        <v>3</v>
      </c>
      <c r="E2314" s="170" t="s">
        <v>441</v>
      </c>
      <c r="F2314" s="222" t="s">
        <v>442</v>
      </c>
      <c r="G2314" s="315" t="s">
        <v>443</v>
      </c>
    </row>
    <row r="2315" spans="2:7" x14ac:dyDescent="0.2">
      <c r="B2315" s="419"/>
      <c r="C2315" s="420"/>
      <c r="D2315" s="421"/>
      <c r="E2315" s="421"/>
      <c r="F2315" s="422"/>
      <c r="G2315" s="350"/>
    </row>
    <row r="2316" spans="2:7" x14ac:dyDescent="0.2">
      <c r="B2316" s="423" t="s">
        <v>444</v>
      </c>
      <c r="C2316" s="420"/>
      <c r="D2316" s="421"/>
      <c r="E2316" s="421"/>
      <c r="F2316" s="422"/>
      <c r="G2316" s="350"/>
    </row>
    <row r="2317" spans="2:7" x14ac:dyDescent="0.2">
      <c r="B2317" s="184"/>
      <c r="C2317" s="185"/>
      <c r="D2317" s="424"/>
      <c r="E2317" s="186"/>
      <c r="F2317" s="222"/>
      <c r="G2317" s="315"/>
    </row>
    <row r="2318" spans="2:7" x14ac:dyDescent="0.2">
      <c r="B2318" s="419"/>
      <c r="C2318" s="420"/>
      <c r="D2318" s="421"/>
      <c r="E2318" s="421"/>
      <c r="F2318" s="422" t="s">
        <v>446</v>
      </c>
      <c r="G2318" s="425" t="s">
        <v>465</v>
      </c>
    </row>
    <row r="2319" spans="2:7" x14ac:dyDescent="0.2">
      <c r="B2319" s="426" t="s">
        <v>447</v>
      </c>
      <c r="C2319" s="420" t="s">
        <v>588</v>
      </c>
      <c r="D2319" s="420" t="s">
        <v>589</v>
      </c>
      <c r="E2319" s="420" t="s">
        <v>590</v>
      </c>
      <c r="F2319" s="427" t="s">
        <v>619</v>
      </c>
      <c r="G2319" s="428" t="s">
        <v>592</v>
      </c>
    </row>
    <row r="2320" spans="2:7" x14ac:dyDescent="0.2">
      <c r="B2320" s="291" t="s">
        <v>630</v>
      </c>
      <c r="C2320" s="429">
        <v>286306</v>
      </c>
      <c r="D2320" s="254">
        <v>1.47</v>
      </c>
      <c r="E2320" s="430">
        <v>420869</v>
      </c>
      <c r="F2320" s="456">
        <v>1</v>
      </c>
      <c r="G2320" s="318">
        <v>420869</v>
      </c>
    </row>
    <row r="2321" spans="2:7" x14ac:dyDescent="0.2">
      <c r="B2321" s="195" t="s">
        <v>524</v>
      </c>
      <c r="C2321" s="435">
        <v>107473.5</v>
      </c>
      <c r="D2321" s="362">
        <v>1.47</v>
      </c>
      <c r="E2321" s="363">
        <v>157986</v>
      </c>
      <c r="F2321" s="457">
        <v>1</v>
      </c>
      <c r="G2321" s="311">
        <v>157986</v>
      </c>
    </row>
    <row r="2322" spans="2:7" x14ac:dyDescent="0.2">
      <c r="B2322" s="259" t="s">
        <v>629</v>
      </c>
      <c r="C2322" s="454">
        <v>272539.5</v>
      </c>
      <c r="D2322" s="362">
        <v>1.47</v>
      </c>
      <c r="E2322" s="363">
        <v>400633</v>
      </c>
      <c r="F2322" s="457">
        <v>4.4000000000000004</v>
      </c>
      <c r="G2322" s="182">
        <v>91052.95</v>
      </c>
    </row>
    <row r="2323" spans="2:7" x14ac:dyDescent="0.2">
      <c r="B2323" s="419"/>
      <c r="C2323" s="420"/>
      <c r="D2323" s="421"/>
      <c r="E2323" s="421"/>
      <c r="F2323" s="422" t="s">
        <v>621</v>
      </c>
      <c r="G2323" s="425">
        <v>669907.94999999995</v>
      </c>
    </row>
    <row r="2324" spans="2:7" x14ac:dyDescent="0.2">
      <c r="B2324" s="423" t="s">
        <v>450</v>
      </c>
      <c r="C2324" s="420"/>
      <c r="D2324" s="421"/>
      <c r="E2324" s="421"/>
      <c r="F2324" s="422"/>
      <c r="G2324" s="350"/>
    </row>
    <row r="2325" spans="2:7" x14ac:dyDescent="0.2">
      <c r="B2325" s="184" t="s">
        <v>568</v>
      </c>
      <c r="C2325" s="185" t="s">
        <v>2</v>
      </c>
      <c r="D2325" s="437">
        <v>5</v>
      </c>
      <c r="E2325" s="186"/>
      <c r="F2325" s="222">
        <v>2100</v>
      </c>
      <c r="G2325" s="315">
        <v>10500</v>
      </c>
    </row>
    <row r="2326" spans="2:7" x14ac:dyDescent="0.2">
      <c r="B2326" s="200" t="s">
        <v>552</v>
      </c>
      <c r="C2326" s="185" t="s">
        <v>2</v>
      </c>
      <c r="D2326" s="437">
        <v>1</v>
      </c>
      <c r="E2326" s="186"/>
      <c r="F2326" s="222">
        <v>1800</v>
      </c>
      <c r="G2326" s="182">
        <v>1800</v>
      </c>
    </row>
    <row r="2327" spans="2:7" x14ac:dyDescent="0.2">
      <c r="B2327" s="200" t="s">
        <v>622</v>
      </c>
      <c r="C2327" s="185" t="s">
        <v>2</v>
      </c>
      <c r="D2327" s="437">
        <v>1</v>
      </c>
      <c r="E2327" s="186"/>
      <c r="F2327" s="222">
        <v>7600</v>
      </c>
      <c r="G2327" s="182">
        <v>7600</v>
      </c>
    </row>
    <row r="2328" spans="2:7" x14ac:dyDescent="0.2">
      <c r="B2328" s="200" t="s">
        <v>623</v>
      </c>
      <c r="C2328" s="185" t="s">
        <v>2</v>
      </c>
      <c r="D2328" s="437">
        <v>1</v>
      </c>
      <c r="E2328" s="186"/>
      <c r="F2328" s="222">
        <v>7600</v>
      </c>
      <c r="G2328" s="182">
        <v>7600</v>
      </c>
    </row>
    <row r="2329" spans="2:7" x14ac:dyDescent="0.2">
      <c r="B2329" s="200" t="s">
        <v>611</v>
      </c>
      <c r="C2329" s="185" t="s">
        <v>2</v>
      </c>
      <c r="D2329" s="437">
        <v>1</v>
      </c>
      <c r="E2329" s="186"/>
      <c r="F2329" s="222">
        <v>2900</v>
      </c>
      <c r="G2329" s="182">
        <v>2900</v>
      </c>
    </row>
    <row r="2330" spans="2:7" x14ac:dyDescent="0.2">
      <c r="B2330" s="200" t="s">
        <v>551</v>
      </c>
      <c r="C2330" s="185" t="s">
        <v>2</v>
      </c>
      <c r="D2330" s="437">
        <v>2</v>
      </c>
      <c r="E2330" s="186"/>
      <c r="F2330" s="222">
        <v>1000</v>
      </c>
      <c r="G2330" s="182">
        <v>2000</v>
      </c>
    </row>
    <row r="2331" spans="2:7" x14ac:dyDescent="0.2">
      <c r="B2331" s="200" t="s">
        <v>569</v>
      </c>
      <c r="C2331" s="185" t="s">
        <v>2</v>
      </c>
      <c r="D2331" s="437">
        <v>4</v>
      </c>
      <c r="E2331" s="186"/>
      <c r="F2331" s="222">
        <v>3700</v>
      </c>
      <c r="G2331" s="182">
        <v>14800</v>
      </c>
    </row>
    <row r="2332" spans="2:7" x14ac:dyDescent="0.2">
      <c r="B2332" s="200" t="s">
        <v>571</v>
      </c>
      <c r="C2332" s="185" t="s">
        <v>2</v>
      </c>
      <c r="D2332" s="437">
        <v>1</v>
      </c>
      <c r="E2332" s="186"/>
      <c r="F2332" s="222">
        <v>1700</v>
      </c>
      <c r="G2332" s="182">
        <v>1700</v>
      </c>
    </row>
    <row r="2333" spans="2:7" x14ac:dyDescent="0.2">
      <c r="B2333" s="200" t="s">
        <v>570</v>
      </c>
      <c r="C2333" s="185" t="s">
        <v>2</v>
      </c>
      <c r="D2333" s="437">
        <v>1</v>
      </c>
      <c r="E2333" s="186"/>
      <c r="F2333" s="222">
        <v>1600</v>
      </c>
      <c r="G2333" s="182">
        <v>1600</v>
      </c>
    </row>
    <row r="2334" spans="2:7" x14ac:dyDescent="0.2">
      <c r="B2334" s="200" t="s">
        <v>612</v>
      </c>
      <c r="C2334" s="185" t="s">
        <v>2</v>
      </c>
      <c r="D2334" s="437">
        <v>1</v>
      </c>
      <c r="E2334" s="186"/>
      <c r="F2334" s="222">
        <v>500</v>
      </c>
      <c r="G2334" s="182">
        <v>500</v>
      </c>
    </row>
    <row r="2335" spans="2:7" x14ac:dyDescent="0.2">
      <c r="B2335" s="419"/>
      <c r="C2335" s="420"/>
      <c r="D2335" s="421"/>
      <c r="E2335" s="421"/>
      <c r="F2335" s="422" t="s">
        <v>624</v>
      </c>
      <c r="G2335" s="425">
        <v>51000</v>
      </c>
    </row>
    <row r="2336" spans="2:7" x14ac:dyDescent="0.2">
      <c r="B2336" s="423" t="s">
        <v>625</v>
      </c>
      <c r="C2336" s="420"/>
      <c r="D2336" s="421"/>
      <c r="E2336" s="421"/>
      <c r="F2336" s="422"/>
      <c r="G2336" s="350"/>
    </row>
    <row r="2337" spans="2:7" x14ac:dyDescent="0.2">
      <c r="B2337" s="184" t="s">
        <v>626</v>
      </c>
      <c r="C2337" s="185" t="s">
        <v>114</v>
      </c>
      <c r="D2337" s="186">
        <v>0.22727272700000001</v>
      </c>
      <c r="E2337" s="186"/>
      <c r="F2337" s="193">
        <v>150000</v>
      </c>
      <c r="G2337" s="315">
        <v>34090.9</v>
      </c>
    </row>
    <row r="2338" spans="2:7" x14ac:dyDescent="0.2">
      <c r="B2338" s="200" t="s">
        <v>627</v>
      </c>
      <c r="C2338" s="185" t="s">
        <v>114</v>
      </c>
      <c r="D2338" s="186">
        <v>8</v>
      </c>
      <c r="E2338" s="186"/>
      <c r="F2338" s="193">
        <v>6000</v>
      </c>
      <c r="G2338" s="182">
        <v>48000</v>
      </c>
    </row>
    <row r="2339" spans="2:7" x14ac:dyDescent="0.2">
      <c r="B2339" s="239" t="s">
        <v>455</v>
      </c>
      <c r="C2339" s="439" t="s">
        <v>456</v>
      </c>
      <c r="D2339" s="453"/>
      <c r="E2339" s="441"/>
      <c r="F2339" s="442"/>
      <c r="G2339" s="311" t="s">
        <v>465</v>
      </c>
    </row>
    <row r="2340" spans="2:7" x14ac:dyDescent="0.2">
      <c r="B2340" s="419"/>
      <c r="C2340" s="420"/>
      <c r="D2340" s="421"/>
      <c r="E2340" s="421"/>
      <c r="F2340" s="422" t="s">
        <v>628</v>
      </c>
      <c r="G2340" s="443">
        <v>82090.899999999994</v>
      </c>
    </row>
    <row r="2341" spans="2:7" x14ac:dyDescent="0.2">
      <c r="B2341" s="419"/>
      <c r="C2341" s="420"/>
      <c r="D2341" s="421"/>
      <c r="E2341" s="421"/>
      <c r="F2341" s="422"/>
      <c r="G2341" s="350"/>
    </row>
    <row r="2342" spans="2:7" ht="17" thickBot="1" x14ac:dyDescent="0.25">
      <c r="B2342" s="444"/>
      <c r="C2342" s="445"/>
      <c r="D2342" s="446"/>
      <c r="E2342" s="447" t="s">
        <v>460</v>
      </c>
      <c r="F2342" s="448">
        <v>802998.85</v>
      </c>
      <c r="G2342" s="449">
        <v>802999</v>
      </c>
    </row>
    <row r="2343" spans="2:7" ht="17" thickTop="1" x14ac:dyDescent="0.2">
      <c r="B2343" s="212"/>
      <c r="C2343" s="213"/>
      <c r="D2343" s="212"/>
      <c r="E2343" s="212"/>
      <c r="F2343" s="212"/>
      <c r="G2343" s="212"/>
    </row>
    <row r="2344" spans="2:7" ht="17" thickBot="1" x14ac:dyDescent="0.25">
      <c r="B2344" s="212"/>
      <c r="C2344" s="213"/>
      <c r="D2344" s="212"/>
      <c r="E2344" s="212"/>
      <c r="F2344" s="212"/>
      <c r="G2344" s="212"/>
    </row>
    <row r="2345" spans="2:7" ht="17" thickTop="1" x14ac:dyDescent="0.2">
      <c r="B2345" s="541" t="s">
        <v>120</v>
      </c>
      <c r="C2345" s="542"/>
      <c r="D2345" s="542"/>
      <c r="E2345" s="542"/>
      <c r="F2345" s="416"/>
      <c r="G2345" s="417" t="s">
        <v>618</v>
      </c>
    </row>
    <row r="2346" spans="2:7" x14ac:dyDescent="0.2">
      <c r="B2346" s="543"/>
      <c r="C2346" s="544"/>
      <c r="D2346" s="544"/>
      <c r="E2346" s="544"/>
      <c r="F2346" s="213"/>
      <c r="G2346" s="418" t="s">
        <v>477</v>
      </c>
    </row>
    <row r="2347" spans="2:7" x14ac:dyDescent="0.2">
      <c r="B2347" s="200" t="s">
        <v>1</v>
      </c>
      <c r="C2347" s="169" t="s">
        <v>2</v>
      </c>
      <c r="D2347" s="170" t="s">
        <v>3</v>
      </c>
      <c r="E2347" s="170" t="s">
        <v>441</v>
      </c>
      <c r="F2347" s="222" t="s">
        <v>442</v>
      </c>
      <c r="G2347" s="315" t="s">
        <v>443</v>
      </c>
    </row>
    <row r="2348" spans="2:7" x14ac:dyDescent="0.2">
      <c r="B2348" s="419"/>
      <c r="C2348" s="420"/>
      <c r="D2348" s="421"/>
      <c r="E2348" s="421"/>
      <c r="F2348" s="422"/>
      <c r="G2348" s="350"/>
    </row>
    <row r="2349" spans="2:7" x14ac:dyDescent="0.2">
      <c r="B2349" s="423" t="s">
        <v>444</v>
      </c>
      <c r="C2349" s="420"/>
      <c r="D2349" s="421"/>
      <c r="E2349" s="421"/>
      <c r="F2349" s="422"/>
      <c r="G2349" s="350"/>
    </row>
    <row r="2350" spans="2:7" x14ac:dyDescent="0.2">
      <c r="B2350" s="184"/>
      <c r="C2350" s="185"/>
      <c r="D2350" s="424"/>
      <c r="E2350" s="186"/>
      <c r="F2350" s="222"/>
      <c r="G2350" s="315"/>
    </row>
    <row r="2351" spans="2:7" x14ac:dyDescent="0.2">
      <c r="B2351" s="419"/>
      <c r="C2351" s="420"/>
      <c r="D2351" s="421"/>
      <c r="E2351" s="421"/>
      <c r="F2351" s="422" t="s">
        <v>446</v>
      </c>
      <c r="G2351" s="425" t="s">
        <v>465</v>
      </c>
    </row>
    <row r="2352" spans="2:7" x14ac:dyDescent="0.2">
      <c r="B2352" s="426" t="s">
        <v>447</v>
      </c>
      <c r="C2352" s="420" t="s">
        <v>588</v>
      </c>
      <c r="D2352" s="420" t="s">
        <v>589</v>
      </c>
      <c r="E2352" s="420" t="s">
        <v>590</v>
      </c>
      <c r="F2352" s="427" t="s">
        <v>619</v>
      </c>
      <c r="G2352" s="428" t="s">
        <v>592</v>
      </c>
    </row>
    <row r="2353" spans="2:7" x14ac:dyDescent="0.2">
      <c r="B2353" s="458" t="s">
        <v>631</v>
      </c>
      <c r="C2353" s="429">
        <v>380776</v>
      </c>
      <c r="D2353" s="266">
        <v>1.47</v>
      </c>
      <c r="E2353" s="297">
        <v>559740</v>
      </c>
      <c r="F2353" s="459">
        <v>1</v>
      </c>
      <c r="G2353" s="460">
        <v>559740</v>
      </c>
    </row>
    <row r="2354" spans="2:7" x14ac:dyDescent="0.2">
      <c r="B2354" s="195" t="s">
        <v>524</v>
      </c>
      <c r="C2354" s="435">
        <v>107473.5</v>
      </c>
      <c r="D2354" s="362">
        <v>1.47</v>
      </c>
      <c r="E2354" s="363">
        <v>157986</v>
      </c>
      <c r="F2354" s="364">
        <v>1</v>
      </c>
      <c r="G2354" s="311">
        <v>157986</v>
      </c>
    </row>
    <row r="2355" spans="2:7" x14ac:dyDescent="0.2">
      <c r="B2355" s="259" t="s">
        <v>629</v>
      </c>
      <c r="C2355" s="454">
        <v>272539.5</v>
      </c>
      <c r="D2355" s="362">
        <v>1.47</v>
      </c>
      <c r="E2355" s="363">
        <v>400633</v>
      </c>
      <c r="F2355" s="364">
        <v>3.0303</v>
      </c>
      <c r="G2355" s="182">
        <v>132208.89000000001</v>
      </c>
    </row>
    <row r="2356" spans="2:7" x14ac:dyDescent="0.2">
      <c r="B2356" s="419"/>
      <c r="C2356" s="420"/>
      <c r="D2356" s="421"/>
      <c r="E2356" s="421"/>
      <c r="F2356" s="422" t="s">
        <v>621</v>
      </c>
      <c r="G2356" s="425">
        <v>849934.89</v>
      </c>
    </row>
    <row r="2357" spans="2:7" x14ac:dyDescent="0.2">
      <c r="B2357" s="423" t="s">
        <v>450</v>
      </c>
      <c r="C2357" s="420"/>
      <c r="D2357" s="421"/>
      <c r="E2357" s="421"/>
      <c r="F2357" s="422"/>
      <c r="G2357" s="350"/>
    </row>
    <row r="2358" spans="2:7" x14ac:dyDescent="0.2">
      <c r="B2358" s="184" t="s">
        <v>568</v>
      </c>
      <c r="C2358" s="185" t="s">
        <v>2</v>
      </c>
      <c r="D2358" s="437">
        <v>5</v>
      </c>
      <c r="E2358" s="186"/>
      <c r="F2358" s="222">
        <v>2100</v>
      </c>
      <c r="G2358" s="315">
        <v>10500</v>
      </c>
    </row>
    <row r="2359" spans="2:7" x14ac:dyDescent="0.2">
      <c r="B2359" s="200" t="s">
        <v>552</v>
      </c>
      <c r="C2359" s="185" t="s">
        <v>2</v>
      </c>
      <c r="D2359" s="437">
        <v>1</v>
      </c>
      <c r="E2359" s="186"/>
      <c r="F2359" s="222">
        <v>1800</v>
      </c>
      <c r="G2359" s="182">
        <v>1800</v>
      </c>
    </row>
    <row r="2360" spans="2:7" x14ac:dyDescent="0.2">
      <c r="B2360" s="200" t="s">
        <v>622</v>
      </c>
      <c r="C2360" s="185" t="s">
        <v>2</v>
      </c>
      <c r="D2360" s="437">
        <v>1</v>
      </c>
      <c r="E2360" s="186"/>
      <c r="F2360" s="222">
        <v>7600</v>
      </c>
      <c r="G2360" s="182">
        <v>7600</v>
      </c>
    </row>
    <row r="2361" spans="2:7" x14ac:dyDescent="0.2">
      <c r="B2361" s="200" t="s">
        <v>623</v>
      </c>
      <c r="C2361" s="185" t="s">
        <v>2</v>
      </c>
      <c r="D2361" s="437">
        <v>1</v>
      </c>
      <c r="E2361" s="186"/>
      <c r="F2361" s="222">
        <v>7600</v>
      </c>
      <c r="G2361" s="182">
        <v>7600</v>
      </c>
    </row>
    <row r="2362" spans="2:7" x14ac:dyDescent="0.2">
      <c r="B2362" s="200" t="s">
        <v>611</v>
      </c>
      <c r="C2362" s="185" t="s">
        <v>2</v>
      </c>
      <c r="D2362" s="437">
        <v>1</v>
      </c>
      <c r="E2362" s="186"/>
      <c r="F2362" s="222">
        <v>2900</v>
      </c>
      <c r="G2362" s="182">
        <v>2900</v>
      </c>
    </row>
    <row r="2363" spans="2:7" x14ac:dyDescent="0.2">
      <c r="B2363" s="200" t="s">
        <v>551</v>
      </c>
      <c r="C2363" s="185" t="s">
        <v>2</v>
      </c>
      <c r="D2363" s="437">
        <v>3</v>
      </c>
      <c r="E2363" s="186"/>
      <c r="F2363" s="222">
        <v>1000</v>
      </c>
      <c r="G2363" s="182">
        <v>3000</v>
      </c>
    </row>
    <row r="2364" spans="2:7" x14ac:dyDescent="0.2">
      <c r="B2364" s="200" t="s">
        <v>569</v>
      </c>
      <c r="C2364" s="185" t="s">
        <v>2</v>
      </c>
      <c r="D2364" s="437">
        <v>5</v>
      </c>
      <c r="E2364" s="186"/>
      <c r="F2364" s="222">
        <v>3700</v>
      </c>
      <c r="G2364" s="182">
        <v>18500</v>
      </c>
    </row>
    <row r="2365" spans="2:7" x14ac:dyDescent="0.2">
      <c r="B2365" s="200" t="s">
        <v>571</v>
      </c>
      <c r="C2365" s="185" t="s">
        <v>2</v>
      </c>
      <c r="D2365" s="437">
        <v>1</v>
      </c>
      <c r="E2365" s="186"/>
      <c r="F2365" s="222">
        <v>1700</v>
      </c>
      <c r="G2365" s="182">
        <v>1700</v>
      </c>
    </row>
    <row r="2366" spans="2:7" x14ac:dyDescent="0.2">
      <c r="B2366" s="200" t="s">
        <v>570</v>
      </c>
      <c r="C2366" s="185" t="s">
        <v>2</v>
      </c>
      <c r="D2366" s="437">
        <v>1</v>
      </c>
      <c r="E2366" s="186"/>
      <c r="F2366" s="222">
        <v>1600</v>
      </c>
      <c r="G2366" s="182">
        <v>1600</v>
      </c>
    </row>
    <row r="2367" spans="2:7" x14ac:dyDescent="0.2">
      <c r="B2367" s="200" t="s">
        <v>612</v>
      </c>
      <c r="C2367" s="185" t="s">
        <v>2</v>
      </c>
      <c r="D2367" s="437">
        <v>1</v>
      </c>
      <c r="E2367" s="186"/>
      <c r="F2367" s="222">
        <v>500</v>
      </c>
      <c r="G2367" s="182">
        <v>500</v>
      </c>
    </row>
    <row r="2368" spans="2:7" x14ac:dyDescent="0.2">
      <c r="B2368" s="419"/>
      <c r="C2368" s="420"/>
      <c r="D2368" s="421"/>
      <c r="E2368" s="421"/>
      <c r="F2368" s="422" t="s">
        <v>624</v>
      </c>
      <c r="G2368" s="425">
        <v>55700</v>
      </c>
    </row>
    <row r="2369" spans="2:7" x14ac:dyDescent="0.2">
      <c r="B2369" s="423" t="s">
        <v>625</v>
      </c>
      <c r="C2369" s="420"/>
      <c r="D2369" s="421"/>
      <c r="E2369" s="421"/>
      <c r="F2369" s="422"/>
      <c r="G2369" s="350"/>
    </row>
    <row r="2370" spans="2:7" x14ac:dyDescent="0.2">
      <c r="B2370" s="184" t="s">
        <v>626</v>
      </c>
      <c r="C2370" s="185" t="s">
        <v>114</v>
      </c>
      <c r="D2370" s="186">
        <v>1</v>
      </c>
      <c r="E2370" s="186"/>
      <c r="F2370" s="193">
        <v>150000</v>
      </c>
      <c r="G2370" s="315">
        <v>150000</v>
      </c>
    </row>
    <row r="2371" spans="2:7" x14ac:dyDescent="0.2">
      <c r="B2371" s="200" t="s">
        <v>627</v>
      </c>
      <c r="C2371" s="185" t="s">
        <v>114</v>
      </c>
      <c r="D2371" s="186">
        <v>10</v>
      </c>
      <c r="E2371" s="186"/>
      <c r="F2371" s="193">
        <v>6000</v>
      </c>
      <c r="G2371" s="182">
        <v>60000</v>
      </c>
    </row>
    <row r="2372" spans="2:7" x14ac:dyDescent="0.2">
      <c r="B2372" s="239" t="s">
        <v>455</v>
      </c>
      <c r="C2372" s="439" t="s">
        <v>456</v>
      </c>
      <c r="D2372" s="453"/>
      <c r="E2372" s="441"/>
      <c r="F2372" s="442"/>
      <c r="G2372" s="311" t="s">
        <v>465</v>
      </c>
    </row>
    <row r="2373" spans="2:7" x14ac:dyDescent="0.2">
      <c r="B2373" s="419"/>
      <c r="C2373" s="420"/>
      <c r="D2373" s="421"/>
      <c r="E2373" s="421"/>
      <c r="F2373" s="422" t="s">
        <v>628</v>
      </c>
      <c r="G2373" s="443">
        <v>210000</v>
      </c>
    </row>
    <row r="2374" spans="2:7" x14ac:dyDescent="0.2">
      <c r="B2374" s="419"/>
      <c r="C2374" s="420"/>
      <c r="D2374" s="421"/>
      <c r="E2374" s="421"/>
      <c r="F2374" s="422"/>
      <c r="G2374" s="350"/>
    </row>
    <row r="2375" spans="2:7" ht="17" thickBot="1" x14ac:dyDescent="0.25">
      <c r="B2375" s="444"/>
      <c r="C2375" s="445"/>
      <c r="D2375" s="446"/>
      <c r="E2375" s="447" t="s">
        <v>460</v>
      </c>
      <c r="F2375" s="448">
        <v>1115634.8899999999</v>
      </c>
      <c r="G2375" s="449">
        <v>1115635</v>
      </c>
    </row>
    <row r="2376" spans="2:7" ht="17" thickTop="1" x14ac:dyDescent="0.2">
      <c r="B2376" s="212"/>
      <c r="C2376" s="213"/>
      <c r="D2376" s="212"/>
      <c r="E2376" s="212"/>
      <c r="F2376" s="212"/>
      <c r="G2376" s="212"/>
    </row>
    <row r="2377" spans="2:7" ht="17" thickBot="1" x14ac:dyDescent="0.25">
      <c r="B2377" s="212"/>
      <c r="C2377" s="213"/>
      <c r="D2377" s="212"/>
      <c r="E2377" s="212"/>
      <c r="F2377" s="212"/>
      <c r="G2377" s="212"/>
    </row>
    <row r="2378" spans="2:7" ht="17" thickTop="1" x14ac:dyDescent="0.2">
      <c r="B2378" s="541" t="s">
        <v>121</v>
      </c>
      <c r="C2378" s="542"/>
      <c r="D2378" s="542"/>
      <c r="E2378" s="542"/>
      <c r="F2378" s="416"/>
      <c r="G2378" s="417" t="s">
        <v>618</v>
      </c>
    </row>
    <row r="2379" spans="2:7" x14ac:dyDescent="0.2">
      <c r="B2379" s="543"/>
      <c r="C2379" s="544"/>
      <c r="D2379" s="544"/>
      <c r="E2379" s="544"/>
      <c r="F2379" s="213"/>
      <c r="G2379" s="418" t="s">
        <v>477</v>
      </c>
    </row>
    <row r="2380" spans="2:7" x14ac:dyDescent="0.2">
      <c r="B2380" s="200" t="s">
        <v>1</v>
      </c>
      <c r="C2380" s="169" t="s">
        <v>2</v>
      </c>
      <c r="D2380" s="170" t="s">
        <v>3</v>
      </c>
      <c r="E2380" s="170" t="s">
        <v>441</v>
      </c>
      <c r="F2380" s="222" t="s">
        <v>442</v>
      </c>
      <c r="G2380" s="315" t="s">
        <v>443</v>
      </c>
    </row>
    <row r="2381" spans="2:7" x14ac:dyDescent="0.2">
      <c r="B2381" s="419"/>
      <c r="C2381" s="420"/>
      <c r="D2381" s="421"/>
      <c r="E2381" s="421"/>
      <c r="F2381" s="422"/>
      <c r="G2381" s="350"/>
    </row>
    <row r="2382" spans="2:7" x14ac:dyDescent="0.2">
      <c r="B2382" s="423" t="s">
        <v>444</v>
      </c>
      <c r="C2382" s="420"/>
      <c r="D2382" s="421"/>
      <c r="E2382" s="421"/>
      <c r="F2382" s="422"/>
      <c r="G2382" s="350"/>
    </row>
    <row r="2383" spans="2:7" x14ac:dyDescent="0.2">
      <c r="B2383" s="184"/>
      <c r="C2383" s="185"/>
      <c r="D2383" s="424"/>
      <c r="E2383" s="186"/>
      <c r="F2383" s="222"/>
      <c r="G2383" s="315"/>
    </row>
    <row r="2384" spans="2:7" x14ac:dyDescent="0.2">
      <c r="B2384" s="419"/>
      <c r="C2384" s="420"/>
      <c r="D2384" s="421"/>
      <c r="E2384" s="421"/>
      <c r="F2384" s="422" t="s">
        <v>446</v>
      </c>
      <c r="G2384" s="425" t="s">
        <v>465</v>
      </c>
    </row>
    <row r="2385" spans="2:7" x14ac:dyDescent="0.2">
      <c r="B2385" s="426" t="s">
        <v>447</v>
      </c>
      <c r="C2385" s="420" t="s">
        <v>588</v>
      </c>
      <c r="D2385" s="420" t="s">
        <v>589</v>
      </c>
      <c r="E2385" s="420" t="s">
        <v>590</v>
      </c>
      <c r="F2385" s="427" t="s">
        <v>619</v>
      </c>
      <c r="G2385" s="428" t="s">
        <v>592</v>
      </c>
    </row>
    <row r="2386" spans="2:7" x14ac:dyDescent="0.2">
      <c r="B2386" s="458" t="s">
        <v>631</v>
      </c>
      <c r="C2386" s="429">
        <v>380776</v>
      </c>
      <c r="D2386" s="266">
        <v>1.47</v>
      </c>
      <c r="E2386" s="297">
        <v>559740</v>
      </c>
      <c r="F2386" s="459">
        <v>1</v>
      </c>
      <c r="G2386" s="460">
        <v>559740</v>
      </c>
    </row>
    <row r="2387" spans="2:7" x14ac:dyDescent="0.2">
      <c r="B2387" s="195" t="s">
        <v>524</v>
      </c>
      <c r="C2387" s="435">
        <v>107473.5</v>
      </c>
      <c r="D2387" s="362">
        <v>1.47</v>
      </c>
      <c r="E2387" s="363">
        <v>157986</v>
      </c>
      <c r="F2387" s="364">
        <v>1</v>
      </c>
      <c r="G2387" s="311">
        <v>157986</v>
      </c>
    </row>
    <row r="2388" spans="2:7" x14ac:dyDescent="0.2">
      <c r="B2388" s="259" t="s">
        <v>629</v>
      </c>
      <c r="C2388" s="454">
        <v>272539.5</v>
      </c>
      <c r="D2388" s="362">
        <v>1.47</v>
      </c>
      <c r="E2388" s="363">
        <v>400633</v>
      </c>
      <c r="F2388" s="364">
        <v>2.4</v>
      </c>
      <c r="G2388" s="182">
        <v>166930.42000000001</v>
      </c>
    </row>
    <row r="2389" spans="2:7" x14ac:dyDescent="0.2">
      <c r="B2389" s="419"/>
      <c r="C2389" s="420"/>
      <c r="D2389" s="421"/>
      <c r="E2389" s="421"/>
      <c r="F2389" s="422" t="s">
        <v>621</v>
      </c>
      <c r="G2389" s="425">
        <v>884656.42</v>
      </c>
    </row>
    <row r="2390" spans="2:7" x14ac:dyDescent="0.2">
      <c r="B2390" s="423" t="s">
        <v>450</v>
      </c>
      <c r="C2390" s="420"/>
      <c r="D2390" s="421"/>
      <c r="E2390" s="421"/>
      <c r="F2390" s="422"/>
      <c r="G2390" s="350"/>
    </row>
    <row r="2391" spans="2:7" x14ac:dyDescent="0.2">
      <c r="B2391" s="184" t="s">
        <v>568</v>
      </c>
      <c r="C2391" s="185" t="s">
        <v>2</v>
      </c>
      <c r="D2391" s="437">
        <v>5</v>
      </c>
      <c r="E2391" s="186"/>
      <c r="F2391" s="222">
        <v>2100</v>
      </c>
      <c r="G2391" s="315">
        <v>10500</v>
      </c>
    </row>
    <row r="2392" spans="2:7" x14ac:dyDescent="0.2">
      <c r="B2392" s="200" t="s">
        <v>552</v>
      </c>
      <c r="C2392" s="185" t="s">
        <v>2</v>
      </c>
      <c r="D2392" s="437">
        <v>1</v>
      </c>
      <c r="E2392" s="186"/>
      <c r="F2392" s="222">
        <v>1800</v>
      </c>
      <c r="G2392" s="182">
        <v>1800</v>
      </c>
    </row>
    <row r="2393" spans="2:7" x14ac:dyDescent="0.2">
      <c r="B2393" s="200" t="s">
        <v>622</v>
      </c>
      <c r="C2393" s="185" t="s">
        <v>2</v>
      </c>
      <c r="D2393" s="437">
        <v>1</v>
      </c>
      <c r="E2393" s="186"/>
      <c r="F2393" s="222">
        <v>7600</v>
      </c>
      <c r="G2393" s="182">
        <v>7600</v>
      </c>
    </row>
    <row r="2394" spans="2:7" x14ac:dyDescent="0.2">
      <c r="B2394" s="200" t="s">
        <v>623</v>
      </c>
      <c r="C2394" s="185" t="s">
        <v>2</v>
      </c>
      <c r="D2394" s="437">
        <v>1</v>
      </c>
      <c r="E2394" s="186"/>
      <c r="F2394" s="222">
        <v>7600</v>
      </c>
      <c r="G2394" s="182">
        <v>7600</v>
      </c>
    </row>
    <row r="2395" spans="2:7" x14ac:dyDescent="0.2">
      <c r="B2395" s="200" t="s">
        <v>611</v>
      </c>
      <c r="C2395" s="185" t="s">
        <v>2</v>
      </c>
      <c r="D2395" s="437">
        <v>1</v>
      </c>
      <c r="E2395" s="186"/>
      <c r="F2395" s="222">
        <v>2900</v>
      </c>
      <c r="G2395" s="182">
        <v>2900</v>
      </c>
    </row>
    <row r="2396" spans="2:7" x14ac:dyDescent="0.2">
      <c r="B2396" s="200" t="s">
        <v>551</v>
      </c>
      <c r="C2396" s="185" t="s">
        <v>2</v>
      </c>
      <c r="D2396" s="437">
        <v>3</v>
      </c>
      <c r="E2396" s="186"/>
      <c r="F2396" s="222">
        <v>1000</v>
      </c>
      <c r="G2396" s="182">
        <v>3000</v>
      </c>
    </row>
    <row r="2397" spans="2:7" x14ac:dyDescent="0.2">
      <c r="B2397" s="200" t="s">
        <v>569</v>
      </c>
      <c r="C2397" s="185" t="s">
        <v>2</v>
      </c>
      <c r="D2397" s="437">
        <v>5</v>
      </c>
      <c r="E2397" s="186"/>
      <c r="F2397" s="222">
        <v>3700</v>
      </c>
      <c r="G2397" s="182">
        <v>18500</v>
      </c>
    </row>
    <row r="2398" spans="2:7" x14ac:dyDescent="0.2">
      <c r="B2398" s="200" t="s">
        <v>571</v>
      </c>
      <c r="C2398" s="185" t="s">
        <v>2</v>
      </c>
      <c r="D2398" s="437">
        <v>1</v>
      </c>
      <c r="E2398" s="186"/>
      <c r="F2398" s="222">
        <v>1700</v>
      </c>
      <c r="G2398" s="182">
        <v>1700</v>
      </c>
    </row>
    <row r="2399" spans="2:7" x14ac:dyDescent="0.2">
      <c r="B2399" s="200" t="s">
        <v>570</v>
      </c>
      <c r="C2399" s="185" t="s">
        <v>2</v>
      </c>
      <c r="D2399" s="437">
        <v>1</v>
      </c>
      <c r="E2399" s="186"/>
      <c r="F2399" s="222">
        <v>1600</v>
      </c>
      <c r="G2399" s="182">
        <v>1600</v>
      </c>
    </row>
    <row r="2400" spans="2:7" x14ac:dyDescent="0.2">
      <c r="B2400" s="200" t="s">
        <v>612</v>
      </c>
      <c r="C2400" s="185" t="s">
        <v>2</v>
      </c>
      <c r="D2400" s="437">
        <v>1</v>
      </c>
      <c r="E2400" s="186"/>
      <c r="F2400" s="222">
        <v>500</v>
      </c>
      <c r="G2400" s="182">
        <v>500</v>
      </c>
    </row>
    <row r="2401" spans="2:7" x14ac:dyDescent="0.2">
      <c r="B2401" s="419"/>
      <c r="C2401" s="420"/>
      <c r="D2401" s="421"/>
      <c r="E2401" s="421"/>
      <c r="F2401" s="422" t="s">
        <v>624</v>
      </c>
      <c r="G2401" s="425">
        <v>55700</v>
      </c>
    </row>
    <row r="2402" spans="2:7" x14ac:dyDescent="0.2">
      <c r="B2402" s="423" t="s">
        <v>625</v>
      </c>
      <c r="C2402" s="420"/>
      <c r="D2402" s="421"/>
      <c r="E2402" s="421"/>
      <c r="F2402" s="422"/>
      <c r="G2402" s="350"/>
    </row>
    <row r="2403" spans="2:7" x14ac:dyDescent="0.2">
      <c r="B2403" s="184" t="s">
        <v>626</v>
      </c>
      <c r="C2403" s="185" t="s">
        <v>114</v>
      </c>
      <c r="D2403" s="186">
        <v>0.33333333300000001</v>
      </c>
      <c r="E2403" s="186"/>
      <c r="F2403" s="193">
        <v>150000</v>
      </c>
      <c r="G2403" s="315">
        <v>50000</v>
      </c>
    </row>
    <row r="2404" spans="2:7" x14ac:dyDescent="0.2">
      <c r="B2404" s="200" t="s">
        <v>627</v>
      </c>
      <c r="C2404" s="185" t="s">
        <v>114</v>
      </c>
      <c r="D2404" s="186">
        <v>10</v>
      </c>
      <c r="E2404" s="186"/>
      <c r="F2404" s="193">
        <v>6000</v>
      </c>
      <c r="G2404" s="182">
        <v>60000</v>
      </c>
    </row>
    <row r="2405" spans="2:7" x14ac:dyDescent="0.2">
      <c r="B2405" s="239" t="s">
        <v>455</v>
      </c>
      <c r="C2405" s="439" t="s">
        <v>456</v>
      </c>
      <c r="D2405" s="453"/>
      <c r="E2405" s="441"/>
      <c r="F2405" s="442"/>
      <c r="G2405" s="311" t="s">
        <v>465</v>
      </c>
    </row>
    <row r="2406" spans="2:7" x14ac:dyDescent="0.2">
      <c r="B2406" s="419"/>
      <c r="C2406" s="420"/>
      <c r="D2406" s="421"/>
      <c r="E2406" s="421"/>
      <c r="F2406" s="422" t="s">
        <v>628</v>
      </c>
      <c r="G2406" s="443">
        <v>110000</v>
      </c>
    </row>
    <row r="2407" spans="2:7" x14ac:dyDescent="0.2">
      <c r="B2407" s="419"/>
      <c r="C2407" s="420"/>
      <c r="D2407" s="421"/>
      <c r="E2407" s="421"/>
      <c r="F2407" s="422"/>
      <c r="G2407" s="350"/>
    </row>
    <row r="2408" spans="2:7" ht="17" thickBot="1" x14ac:dyDescent="0.25">
      <c r="B2408" s="444"/>
      <c r="C2408" s="445"/>
      <c r="D2408" s="446"/>
      <c r="E2408" s="447" t="s">
        <v>460</v>
      </c>
      <c r="F2408" s="448">
        <v>1050356.42</v>
      </c>
      <c r="G2408" s="449">
        <v>1050356</v>
      </c>
    </row>
    <row r="2409" spans="2:7" ht="17" thickTop="1" x14ac:dyDescent="0.2">
      <c r="B2409" s="212"/>
      <c r="C2409" s="213"/>
      <c r="D2409" s="212"/>
      <c r="E2409" s="212"/>
      <c r="F2409" s="212"/>
      <c r="G2409" s="212"/>
    </row>
    <row r="2410" spans="2:7" ht="17" thickBot="1" x14ac:dyDescent="0.25">
      <c r="B2410" s="212"/>
      <c r="C2410" s="213"/>
      <c r="D2410" s="212"/>
      <c r="E2410" s="212"/>
      <c r="F2410" s="212"/>
      <c r="G2410" s="212"/>
    </row>
    <row r="2411" spans="2:7" ht="17" thickTop="1" x14ac:dyDescent="0.2">
      <c r="B2411" s="541" t="s">
        <v>122</v>
      </c>
      <c r="C2411" s="542"/>
      <c r="D2411" s="542"/>
      <c r="E2411" s="542"/>
      <c r="F2411" s="416"/>
      <c r="G2411" s="417" t="s">
        <v>618</v>
      </c>
    </row>
    <row r="2412" spans="2:7" x14ac:dyDescent="0.2">
      <c r="B2412" s="543"/>
      <c r="C2412" s="544"/>
      <c r="D2412" s="544"/>
      <c r="E2412" s="544"/>
      <c r="F2412" s="213"/>
      <c r="G2412" s="418" t="s">
        <v>477</v>
      </c>
    </row>
    <row r="2413" spans="2:7" x14ac:dyDescent="0.2">
      <c r="B2413" s="200" t="s">
        <v>1</v>
      </c>
      <c r="C2413" s="169" t="s">
        <v>2</v>
      </c>
      <c r="D2413" s="170" t="s">
        <v>3</v>
      </c>
      <c r="E2413" s="170" t="s">
        <v>441</v>
      </c>
      <c r="F2413" s="222" t="s">
        <v>442</v>
      </c>
      <c r="G2413" s="315" t="s">
        <v>443</v>
      </c>
    </row>
    <row r="2414" spans="2:7" x14ac:dyDescent="0.2">
      <c r="B2414" s="419"/>
      <c r="C2414" s="420"/>
      <c r="D2414" s="421"/>
      <c r="E2414" s="421"/>
      <c r="F2414" s="422"/>
      <c r="G2414" s="350"/>
    </row>
    <row r="2415" spans="2:7" x14ac:dyDescent="0.2">
      <c r="B2415" s="423" t="s">
        <v>444</v>
      </c>
      <c r="C2415" s="420"/>
      <c r="D2415" s="421"/>
      <c r="E2415" s="421"/>
      <c r="F2415" s="422"/>
      <c r="G2415" s="350"/>
    </row>
    <row r="2416" spans="2:7" x14ac:dyDescent="0.2">
      <c r="B2416" s="184"/>
      <c r="C2416" s="185"/>
      <c r="D2416" s="424"/>
      <c r="E2416" s="186"/>
      <c r="F2416" s="222"/>
      <c r="G2416" s="315"/>
    </row>
    <row r="2417" spans="2:7" x14ac:dyDescent="0.2">
      <c r="B2417" s="419"/>
      <c r="C2417" s="420"/>
      <c r="D2417" s="421"/>
      <c r="E2417" s="421"/>
      <c r="F2417" s="422" t="s">
        <v>446</v>
      </c>
      <c r="G2417" s="425" t="s">
        <v>465</v>
      </c>
    </row>
    <row r="2418" spans="2:7" x14ac:dyDescent="0.2">
      <c r="B2418" s="426" t="s">
        <v>447</v>
      </c>
      <c r="C2418" s="420" t="s">
        <v>588</v>
      </c>
      <c r="D2418" s="420" t="s">
        <v>589</v>
      </c>
      <c r="E2418" s="420" t="s">
        <v>590</v>
      </c>
      <c r="F2418" s="427" t="s">
        <v>619</v>
      </c>
      <c r="G2418" s="428" t="s">
        <v>592</v>
      </c>
    </row>
    <row r="2419" spans="2:7" x14ac:dyDescent="0.2">
      <c r="B2419" s="461" t="s">
        <v>631</v>
      </c>
      <c r="C2419" s="462">
        <v>380776</v>
      </c>
      <c r="D2419" s="181">
        <v>1.47</v>
      </c>
      <c r="E2419" s="396">
        <v>559740</v>
      </c>
      <c r="F2419" s="397">
        <v>1</v>
      </c>
      <c r="G2419" s="463">
        <v>559740</v>
      </c>
    </row>
    <row r="2420" spans="2:7" x14ac:dyDescent="0.2">
      <c r="B2420" s="168" t="s">
        <v>524</v>
      </c>
      <c r="C2420" s="462">
        <v>107473.5</v>
      </c>
      <c r="D2420" s="415">
        <v>1.47</v>
      </c>
      <c r="E2420" s="464">
        <v>157986</v>
      </c>
      <c r="F2420" s="465">
        <v>1</v>
      </c>
      <c r="G2420" s="466">
        <v>157986</v>
      </c>
    </row>
    <row r="2421" spans="2:7" x14ac:dyDescent="0.2">
      <c r="B2421" s="259" t="s">
        <v>629</v>
      </c>
      <c r="C2421" s="451">
        <v>272539.5</v>
      </c>
      <c r="D2421" s="415">
        <v>1.47</v>
      </c>
      <c r="E2421" s="363">
        <v>400633</v>
      </c>
      <c r="F2421" s="467">
        <v>4.4000000000000004</v>
      </c>
      <c r="G2421" s="279">
        <v>91052.95</v>
      </c>
    </row>
    <row r="2422" spans="2:7" x14ac:dyDescent="0.2">
      <c r="B2422" s="419"/>
      <c r="C2422" s="420"/>
      <c r="D2422" s="421"/>
      <c r="E2422" s="421"/>
      <c r="F2422" s="422" t="s">
        <v>621</v>
      </c>
      <c r="G2422" s="425">
        <v>808778.95</v>
      </c>
    </row>
    <row r="2423" spans="2:7" x14ac:dyDescent="0.2">
      <c r="B2423" s="423" t="s">
        <v>450</v>
      </c>
      <c r="C2423" s="420"/>
      <c r="D2423" s="421"/>
      <c r="E2423" s="421"/>
      <c r="F2423" s="422"/>
      <c r="G2423" s="350"/>
    </row>
    <row r="2424" spans="2:7" x14ac:dyDescent="0.2">
      <c r="B2424" s="184" t="s">
        <v>568</v>
      </c>
      <c r="C2424" s="185" t="s">
        <v>2</v>
      </c>
      <c r="D2424" s="437">
        <v>5</v>
      </c>
      <c r="E2424" s="186"/>
      <c r="F2424" s="222">
        <v>2100</v>
      </c>
      <c r="G2424" s="315">
        <v>10500</v>
      </c>
    </row>
    <row r="2425" spans="2:7" x14ac:dyDescent="0.2">
      <c r="B2425" s="200" t="s">
        <v>552</v>
      </c>
      <c r="C2425" s="185" t="s">
        <v>2</v>
      </c>
      <c r="D2425" s="437">
        <v>1</v>
      </c>
      <c r="E2425" s="186"/>
      <c r="F2425" s="222">
        <v>1800</v>
      </c>
      <c r="G2425" s="182">
        <v>1800</v>
      </c>
    </row>
    <row r="2426" spans="2:7" x14ac:dyDescent="0.2">
      <c r="B2426" s="200" t="s">
        <v>622</v>
      </c>
      <c r="C2426" s="185" t="s">
        <v>2</v>
      </c>
      <c r="D2426" s="437">
        <v>1</v>
      </c>
      <c r="E2426" s="186"/>
      <c r="F2426" s="222">
        <v>7600</v>
      </c>
      <c r="G2426" s="182">
        <v>7600</v>
      </c>
    </row>
    <row r="2427" spans="2:7" x14ac:dyDescent="0.2">
      <c r="B2427" s="200" t="s">
        <v>623</v>
      </c>
      <c r="C2427" s="185" t="s">
        <v>2</v>
      </c>
      <c r="D2427" s="437">
        <v>1</v>
      </c>
      <c r="E2427" s="186"/>
      <c r="F2427" s="222">
        <v>7600</v>
      </c>
      <c r="G2427" s="182">
        <v>7600</v>
      </c>
    </row>
    <row r="2428" spans="2:7" x14ac:dyDescent="0.2">
      <c r="B2428" s="200" t="s">
        <v>611</v>
      </c>
      <c r="C2428" s="185" t="s">
        <v>2</v>
      </c>
      <c r="D2428" s="437">
        <v>1</v>
      </c>
      <c r="E2428" s="186"/>
      <c r="F2428" s="222">
        <v>2900</v>
      </c>
      <c r="G2428" s="182">
        <v>2900</v>
      </c>
    </row>
    <row r="2429" spans="2:7" x14ac:dyDescent="0.2">
      <c r="B2429" s="200" t="s">
        <v>551</v>
      </c>
      <c r="C2429" s="185" t="s">
        <v>2</v>
      </c>
      <c r="D2429" s="437">
        <v>3</v>
      </c>
      <c r="E2429" s="186"/>
      <c r="F2429" s="222">
        <v>1000</v>
      </c>
      <c r="G2429" s="182">
        <v>3000</v>
      </c>
    </row>
    <row r="2430" spans="2:7" x14ac:dyDescent="0.2">
      <c r="B2430" s="200" t="s">
        <v>569</v>
      </c>
      <c r="C2430" s="185" t="s">
        <v>2</v>
      </c>
      <c r="D2430" s="437">
        <v>5</v>
      </c>
      <c r="E2430" s="186"/>
      <c r="F2430" s="222">
        <v>3700</v>
      </c>
      <c r="G2430" s="182">
        <v>18500</v>
      </c>
    </row>
    <row r="2431" spans="2:7" x14ac:dyDescent="0.2">
      <c r="B2431" s="200" t="s">
        <v>571</v>
      </c>
      <c r="C2431" s="185" t="s">
        <v>2</v>
      </c>
      <c r="D2431" s="437">
        <v>1</v>
      </c>
      <c r="E2431" s="186"/>
      <c r="F2431" s="222">
        <v>1700</v>
      </c>
      <c r="G2431" s="182">
        <v>1700</v>
      </c>
    </row>
    <row r="2432" spans="2:7" x14ac:dyDescent="0.2">
      <c r="B2432" s="200" t="s">
        <v>570</v>
      </c>
      <c r="C2432" s="185" t="s">
        <v>2</v>
      </c>
      <c r="D2432" s="437">
        <v>1</v>
      </c>
      <c r="E2432" s="186"/>
      <c r="F2432" s="222">
        <v>1600</v>
      </c>
      <c r="G2432" s="182">
        <v>1600</v>
      </c>
    </row>
    <row r="2433" spans="2:7" x14ac:dyDescent="0.2">
      <c r="B2433" s="200" t="s">
        <v>612</v>
      </c>
      <c r="C2433" s="185" t="s">
        <v>2</v>
      </c>
      <c r="D2433" s="437">
        <v>1</v>
      </c>
      <c r="E2433" s="186"/>
      <c r="F2433" s="222">
        <v>500</v>
      </c>
      <c r="G2433" s="182">
        <v>500</v>
      </c>
    </row>
    <row r="2434" spans="2:7" x14ac:dyDescent="0.2">
      <c r="B2434" s="419"/>
      <c r="C2434" s="420"/>
      <c r="D2434" s="421"/>
      <c r="E2434" s="421"/>
      <c r="F2434" s="422" t="s">
        <v>624</v>
      </c>
      <c r="G2434" s="425">
        <v>55700</v>
      </c>
    </row>
    <row r="2435" spans="2:7" x14ac:dyDescent="0.2">
      <c r="B2435" s="423" t="s">
        <v>625</v>
      </c>
      <c r="C2435" s="420"/>
      <c r="D2435" s="421"/>
      <c r="E2435" s="421"/>
      <c r="F2435" s="422"/>
      <c r="G2435" s="350"/>
    </row>
    <row r="2436" spans="2:7" x14ac:dyDescent="0.2">
      <c r="B2436" s="184" t="s">
        <v>626</v>
      </c>
      <c r="C2436" s="185" t="s">
        <v>114</v>
      </c>
      <c r="D2436" s="186">
        <v>0.22727272700000001</v>
      </c>
      <c r="E2436" s="186"/>
      <c r="F2436" s="193">
        <v>150000</v>
      </c>
      <c r="G2436" s="315">
        <v>34090.9</v>
      </c>
    </row>
    <row r="2437" spans="2:7" x14ac:dyDescent="0.2">
      <c r="B2437" s="200" t="s">
        <v>627</v>
      </c>
      <c r="C2437" s="185" t="s">
        <v>114</v>
      </c>
      <c r="D2437" s="186">
        <v>10</v>
      </c>
      <c r="E2437" s="186"/>
      <c r="F2437" s="193">
        <v>6000</v>
      </c>
      <c r="G2437" s="182">
        <v>60000</v>
      </c>
    </row>
    <row r="2438" spans="2:7" x14ac:dyDescent="0.2">
      <c r="B2438" s="239" t="s">
        <v>455</v>
      </c>
      <c r="C2438" s="439" t="s">
        <v>456</v>
      </c>
      <c r="D2438" s="453"/>
      <c r="E2438" s="441"/>
      <c r="F2438" s="442"/>
      <c r="G2438" s="311" t="s">
        <v>465</v>
      </c>
    </row>
    <row r="2439" spans="2:7" x14ac:dyDescent="0.2">
      <c r="B2439" s="419"/>
      <c r="C2439" s="420"/>
      <c r="D2439" s="421"/>
      <c r="E2439" s="421"/>
      <c r="F2439" s="422" t="s">
        <v>628</v>
      </c>
      <c r="G2439" s="443">
        <v>94090.9</v>
      </c>
    </row>
    <row r="2440" spans="2:7" x14ac:dyDescent="0.2">
      <c r="B2440" s="419"/>
      <c r="C2440" s="420"/>
      <c r="D2440" s="421"/>
      <c r="E2440" s="421"/>
      <c r="F2440" s="422"/>
      <c r="G2440" s="350"/>
    </row>
    <row r="2441" spans="2:7" ht="17" thickBot="1" x14ac:dyDescent="0.25">
      <c r="B2441" s="444"/>
      <c r="C2441" s="445"/>
      <c r="D2441" s="446"/>
      <c r="E2441" s="447" t="s">
        <v>460</v>
      </c>
      <c r="F2441" s="448">
        <v>958569.85</v>
      </c>
      <c r="G2441" s="449">
        <v>958570</v>
      </c>
    </row>
    <row r="2442" spans="2:7" ht="17" thickTop="1" x14ac:dyDescent="0.2">
      <c r="B2442" s="212"/>
      <c r="C2442" s="213"/>
      <c r="D2442" s="212"/>
      <c r="E2442" s="212"/>
      <c r="F2442" s="212"/>
      <c r="G2442" s="212"/>
    </row>
    <row r="2443" spans="2:7" x14ac:dyDescent="0.2">
      <c r="B2443" s="212"/>
      <c r="C2443" s="213"/>
      <c r="D2443" s="212"/>
      <c r="E2443" s="212"/>
      <c r="F2443" s="212"/>
      <c r="G2443" s="212"/>
    </row>
    <row r="2444" spans="2:7" ht="17" thickBot="1" x14ac:dyDescent="0.25">
      <c r="B2444" s="212"/>
      <c r="C2444" s="213"/>
      <c r="D2444" s="212"/>
      <c r="E2444" s="212"/>
      <c r="F2444" s="212"/>
      <c r="G2444" s="212"/>
    </row>
    <row r="2445" spans="2:7" ht="17" thickTop="1" x14ac:dyDescent="0.2">
      <c r="B2445" s="541" t="s">
        <v>120</v>
      </c>
      <c r="C2445" s="542"/>
      <c r="D2445" s="542"/>
      <c r="E2445" s="542"/>
      <c r="F2445" s="416"/>
      <c r="G2445" s="417" t="s">
        <v>618</v>
      </c>
    </row>
    <row r="2446" spans="2:7" x14ac:dyDescent="0.2">
      <c r="B2446" s="543"/>
      <c r="C2446" s="544"/>
      <c r="D2446" s="544"/>
      <c r="E2446" s="544"/>
      <c r="F2446" s="213"/>
      <c r="G2446" s="418" t="s">
        <v>477</v>
      </c>
    </row>
    <row r="2447" spans="2:7" x14ac:dyDescent="0.2">
      <c r="B2447" s="200" t="s">
        <v>1</v>
      </c>
      <c r="C2447" s="169" t="s">
        <v>2</v>
      </c>
      <c r="D2447" s="170" t="s">
        <v>3</v>
      </c>
      <c r="E2447" s="170" t="s">
        <v>441</v>
      </c>
      <c r="F2447" s="222" t="s">
        <v>442</v>
      </c>
      <c r="G2447" s="315" t="s">
        <v>443</v>
      </c>
    </row>
    <row r="2448" spans="2:7" x14ac:dyDescent="0.2">
      <c r="B2448" s="419"/>
      <c r="C2448" s="420"/>
      <c r="D2448" s="421"/>
      <c r="E2448" s="421"/>
      <c r="F2448" s="422"/>
      <c r="G2448" s="350"/>
    </row>
    <row r="2449" spans="2:7" x14ac:dyDescent="0.2">
      <c r="B2449" s="423" t="s">
        <v>444</v>
      </c>
      <c r="C2449" s="420"/>
      <c r="D2449" s="421"/>
      <c r="E2449" s="421"/>
      <c r="F2449" s="422"/>
      <c r="G2449" s="350"/>
    </row>
    <row r="2450" spans="2:7" x14ac:dyDescent="0.2">
      <c r="B2450" s="184"/>
      <c r="C2450" s="185"/>
      <c r="D2450" s="424"/>
      <c r="E2450" s="186"/>
      <c r="F2450" s="222"/>
      <c r="G2450" s="315"/>
    </row>
    <row r="2451" spans="2:7" x14ac:dyDescent="0.2">
      <c r="B2451" s="419"/>
      <c r="C2451" s="420"/>
      <c r="D2451" s="421"/>
      <c r="E2451" s="421"/>
      <c r="F2451" s="422" t="s">
        <v>446</v>
      </c>
      <c r="G2451" s="425" t="s">
        <v>465</v>
      </c>
    </row>
    <row r="2452" spans="2:7" x14ac:dyDescent="0.2">
      <c r="B2452" s="426" t="s">
        <v>447</v>
      </c>
      <c r="C2452" s="420" t="s">
        <v>588</v>
      </c>
      <c r="D2452" s="420" t="s">
        <v>589</v>
      </c>
      <c r="E2452" s="420" t="s">
        <v>590</v>
      </c>
      <c r="F2452" s="427" t="s">
        <v>619</v>
      </c>
      <c r="G2452" s="428" t="s">
        <v>592</v>
      </c>
    </row>
    <row r="2453" spans="2:7" x14ac:dyDescent="0.2">
      <c r="B2453" s="458" t="s">
        <v>631</v>
      </c>
      <c r="C2453" s="429">
        <v>380776</v>
      </c>
      <c r="D2453" s="266">
        <v>1.47</v>
      </c>
      <c r="E2453" s="297">
        <v>559740</v>
      </c>
      <c r="F2453" s="459">
        <v>1</v>
      </c>
      <c r="G2453" s="460">
        <v>559740</v>
      </c>
    </row>
    <row r="2454" spans="2:7" x14ac:dyDescent="0.2">
      <c r="B2454" s="195" t="s">
        <v>524</v>
      </c>
      <c r="C2454" s="435">
        <v>107473.5</v>
      </c>
      <c r="D2454" s="362">
        <v>1.47</v>
      </c>
      <c r="E2454" s="363">
        <v>157986</v>
      </c>
      <c r="F2454" s="364">
        <v>1</v>
      </c>
      <c r="G2454" s="311">
        <v>157986</v>
      </c>
    </row>
    <row r="2455" spans="2:7" x14ac:dyDescent="0.2">
      <c r="B2455" s="259" t="s">
        <v>629</v>
      </c>
      <c r="C2455" s="451">
        <v>272539.5</v>
      </c>
      <c r="D2455" s="415">
        <v>1.47</v>
      </c>
      <c r="E2455" s="363">
        <v>400633</v>
      </c>
      <c r="F2455" s="465">
        <v>3.0303</v>
      </c>
      <c r="G2455" s="182">
        <v>132208.89000000001</v>
      </c>
    </row>
    <row r="2456" spans="2:7" x14ac:dyDescent="0.2">
      <c r="B2456" s="419"/>
      <c r="C2456" s="420"/>
      <c r="D2456" s="421"/>
      <c r="E2456" s="421"/>
      <c r="F2456" s="422" t="s">
        <v>621</v>
      </c>
      <c r="G2456" s="425">
        <v>849934.89</v>
      </c>
    </row>
    <row r="2457" spans="2:7" x14ac:dyDescent="0.2">
      <c r="B2457" s="423" t="s">
        <v>450</v>
      </c>
      <c r="C2457" s="420"/>
      <c r="D2457" s="421"/>
      <c r="E2457" s="421"/>
      <c r="F2457" s="422"/>
      <c r="G2457" s="350"/>
    </row>
    <row r="2458" spans="2:7" x14ac:dyDescent="0.2">
      <c r="B2458" s="184" t="s">
        <v>568</v>
      </c>
      <c r="C2458" s="185" t="s">
        <v>2</v>
      </c>
      <c r="D2458" s="437">
        <v>5</v>
      </c>
      <c r="E2458" s="186"/>
      <c r="F2458" s="222">
        <v>2100</v>
      </c>
      <c r="G2458" s="315">
        <v>10500</v>
      </c>
    </row>
    <row r="2459" spans="2:7" x14ac:dyDescent="0.2">
      <c r="B2459" s="200" t="s">
        <v>552</v>
      </c>
      <c r="C2459" s="185" t="s">
        <v>2</v>
      </c>
      <c r="D2459" s="437">
        <v>1</v>
      </c>
      <c r="E2459" s="186"/>
      <c r="F2459" s="222">
        <v>1800</v>
      </c>
      <c r="G2459" s="182">
        <v>1800</v>
      </c>
    </row>
    <row r="2460" spans="2:7" x14ac:dyDescent="0.2">
      <c r="B2460" s="200" t="s">
        <v>622</v>
      </c>
      <c r="C2460" s="185" t="s">
        <v>2</v>
      </c>
      <c r="D2460" s="437">
        <v>1</v>
      </c>
      <c r="E2460" s="186"/>
      <c r="F2460" s="222">
        <v>10200</v>
      </c>
      <c r="G2460" s="182">
        <v>10200</v>
      </c>
    </row>
    <row r="2461" spans="2:7" x14ac:dyDescent="0.2">
      <c r="B2461" s="200" t="s">
        <v>623</v>
      </c>
      <c r="C2461" s="185" t="s">
        <v>2</v>
      </c>
      <c r="D2461" s="437">
        <v>1</v>
      </c>
      <c r="E2461" s="186"/>
      <c r="F2461" s="222">
        <v>7600</v>
      </c>
      <c r="G2461" s="182">
        <v>7600</v>
      </c>
    </row>
    <row r="2462" spans="2:7" x14ac:dyDescent="0.2">
      <c r="B2462" s="200" t="s">
        <v>611</v>
      </c>
      <c r="C2462" s="185" t="s">
        <v>2</v>
      </c>
      <c r="D2462" s="437">
        <v>1</v>
      </c>
      <c r="E2462" s="186"/>
      <c r="F2462" s="222">
        <v>2900</v>
      </c>
      <c r="G2462" s="182">
        <v>2900</v>
      </c>
    </row>
    <row r="2463" spans="2:7" x14ac:dyDescent="0.2">
      <c r="B2463" s="200" t="s">
        <v>551</v>
      </c>
      <c r="C2463" s="185" t="s">
        <v>2</v>
      </c>
      <c r="D2463" s="437">
        <v>3</v>
      </c>
      <c r="E2463" s="186"/>
      <c r="F2463" s="222">
        <v>1000</v>
      </c>
      <c r="G2463" s="182">
        <v>3000</v>
      </c>
    </row>
    <row r="2464" spans="2:7" x14ac:dyDescent="0.2">
      <c r="B2464" s="200" t="s">
        <v>569</v>
      </c>
      <c r="C2464" s="185" t="s">
        <v>2</v>
      </c>
      <c r="D2464" s="437">
        <v>5</v>
      </c>
      <c r="E2464" s="186"/>
      <c r="F2464" s="222">
        <v>3700</v>
      </c>
      <c r="G2464" s="182">
        <v>18500</v>
      </c>
    </row>
    <row r="2465" spans="2:7" x14ac:dyDescent="0.2">
      <c r="B2465" s="200" t="s">
        <v>571</v>
      </c>
      <c r="C2465" s="185" t="s">
        <v>2</v>
      </c>
      <c r="D2465" s="437">
        <v>1</v>
      </c>
      <c r="E2465" s="186"/>
      <c r="F2465" s="222">
        <v>1700</v>
      </c>
      <c r="G2465" s="182">
        <v>1700</v>
      </c>
    </row>
    <row r="2466" spans="2:7" x14ac:dyDescent="0.2">
      <c r="B2466" s="200" t="s">
        <v>570</v>
      </c>
      <c r="C2466" s="185" t="s">
        <v>2</v>
      </c>
      <c r="D2466" s="437">
        <v>1</v>
      </c>
      <c r="E2466" s="186"/>
      <c r="F2466" s="222">
        <v>1600</v>
      </c>
      <c r="G2466" s="182">
        <v>1600</v>
      </c>
    </row>
    <row r="2467" spans="2:7" x14ac:dyDescent="0.2">
      <c r="B2467" s="200" t="s">
        <v>612</v>
      </c>
      <c r="C2467" s="185" t="s">
        <v>2</v>
      </c>
      <c r="D2467" s="437">
        <v>1</v>
      </c>
      <c r="E2467" s="186"/>
      <c r="F2467" s="222">
        <v>500</v>
      </c>
      <c r="G2467" s="182">
        <v>500</v>
      </c>
    </row>
    <row r="2468" spans="2:7" x14ac:dyDescent="0.2">
      <c r="B2468" s="419"/>
      <c r="C2468" s="420"/>
      <c r="D2468" s="421"/>
      <c r="E2468" s="421"/>
      <c r="F2468" s="422" t="s">
        <v>624</v>
      </c>
      <c r="G2468" s="425">
        <v>58300</v>
      </c>
    </row>
    <row r="2469" spans="2:7" x14ac:dyDescent="0.2">
      <c r="B2469" s="423" t="s">
        <v>625</v>
      </c>
      <c r="C2469" s="420"/>
      <c r="D2469" s="421"/>
      <c r="E2469" s="421"/>
      <c r="F2469" s="422"/>
      <c r="G2469" s="350"/>
    </row>
    <row r="2470" spans="2:7" x14ac:dyDescent="0.2">
      <c r="B2470" s="184" t="s">
        <v>626</v>
      </c>
      <c r="C2470" s="185" t="s">
        <v>114</v>
      </c>
      <c r="D2470" s="186">
        <v>1</v>
      </c>
      <c r="E2470" s="186"/>
      <c r="F2470" s="193">
        <v>150000</v>
      </c>
      <c r="G2470" s="315">
        <v>150000</v>
      </c>
    </row>
    <row r="2471" spans="2:7" x14ac:dyDescent="0.2">
      <c r="B2471" s="200" t="s">
        <v>627</v>
      </c>
      <c r="C2471" s="185" t="s">
        <v>114</v>
      </c>
      <c r="D2471" s="186">
        <v>10</v>
      </c>
      <c r="E2471" s="186"/>
      <c r="F2471" s="193">
        <v>6000</v>
      </c>
      <c r="G2471" s="182">
        <v>60000</v>
      </c>
    </row>
    <row r="2472" spans="2:7" x14ac:dyDescent="0.2">
      <c r="B2472" s="239" t="s">
        <v>455</v>
      </c>
      <c r="C2472" s="468" t="s">
        <v>456</v>
      </c>
      <c r="D2472" s="453"/>
      <c r="E2472" s="441"/>
      <c r="F2472" s="442"/>
      <c r="G2472" s="311" t="s">
        <v>465</v>
      </c>
    </row>
    <row r="2473" spans="2:7" x14ac:dyDescent="0.2">
      <c r="B2473" s="419"/>
      <c r="C2473" s="420"/>
      <c r="D2473" s="421"/>
      <c r="E2473" s="421"/>
      <c r="F2473" s="422" t="s">
        <v>628</v>
      </c>
      <c r="G2473" s="443">
        <v>210000</v>
      </c>
    </row>
    <row r="2474" spans="2:7" x14ac:dyDescent="0.2">
      <c r="B2474" s="419"/>
      <c r="C2474" s="420"/>
      <c r="D2474" s="421"/>
      <c r="E2474" s="421"/>
      <c r="F2474" s="422"/>
      <c r="G2474" s="350"/>
    </row>
    <row r="2475" spans="2:7" ht="17" thickBot="1" x14ac:dyDescent="0.25">
      <c r="B2475" s="444"/>
      <c r="C2475" s="445"/>
      <c r="D2475" s="446"/>
      <c r="E2475" s="447" t="s">
        <v>460</v>
      </c>
      <c r="F2475" s="448">
        <v>1118234.8899999999</v>
      </c>
      <c r="G2475" s="449">
        <v>1118235</v>
      </c>
    </row>
    <row r="2476" spans="2:7" ht="17" thickTop="1" x14ac:dyDescent="0.2">
      <c r="B2476" s="212"/>
      <c r="C2476" s="213"/>
      <c r="D2476" s="212"/>
      <c r="E2476" s="212"/>
      <c r="F2476" s="212"/>
      <c r="G2476" s="212"/>
    </row>
    <row r="2477" spans="2:7" ht="17" thickBot="1" x14ac:dyDescent="0.25">
      <c r="B2477" s="212"/>
      <c r="C2477" s="213"/>
      <c r="D2477" s="212"/>
      <c r="E2477" s="212"/>
      <c r="F2477" s="212"/>
      <c r="G2477" s="212"/>
    </row>
    <row r="2478" spans="2:7" ht="17" thickTop="1" x14ac:dyDescent="0.2">
      <c r="B2478" s="537" t="s">
        <v>125</v>
      </c>
      <c r="C2478" s="538"/>
      <c r="D2478" s="538"/>
      <c r="E2478" s="538"/>
      <c r="F2478" s="148"/>
      <c r="G2478" s="149" t="s">
        <v>608</v>
      </c>
    </row>
    <row r="2479" spans="2:7" x14ac:dyDescent="0.2">
      <c r="B2479" s="539"/>
      <c r="C2479" s="540"/>
      <c r="D2479" s="540"/>
      <c r="E2479" s="540"/>
      <c r="F2479" s="150"/>
      <c r="G2479" s="151" t="s">
        <v>477</v>
      </c>
    </row>
    <row r="2480" spans="2:7" x14ac:dyDescent="0.2">
      <c r="B2480" s="152" t="s">
        <v>1</v>
      </c>
      <c r="C2480" s="153" t="s">
        <v>2</v>
      </c>
      <c r="D2480" s="153" t="s">
        <v>3</v>
      </c>
      <c r="E2480" s="153" t="s">
        <v>441</v>
      </c>
      <c r="F2480" s="154" t="s">
        <v>442</v>
      </c>
      <c r="G2480" s="155" t="s">
        <v>443</v>
      </c>
    </row>
    <row r="2481" spans="2:7" x14ac:dyDescent="0.2">
      <c r="B2481" s="157"/>
      <c r="C2481" s="158"/>
      <c r="D2481" s="156"/>
      <c r="E2481" s="156"/>
      <c r="F2481" s="159"/>
      <c r="G2481" s="160"/>
    </row>
    <row r="2482" spans="2:7" x14ac:dyDescent="0.2">
      <c r="B2482" s="161" t="s">
        <v>444</v>
      </c>
      <c r="C2482" s="158"/>
      <c r="D2482" s="156"/>
      <c r="E2482" s="156"/>
      <c r="F2482" s="159"/>
      <c r="G2482" s="160"/>
    </row>
    <row r="2483" spans="2:7" x14ac:dyDescent="0.2">
      <c r="B2483" s="218" t="s">
        <v>632</v>
      </c>
      <c r="C2483" s="219" t="s">
        <v>2</v>
      </c>
      <c r="D2483" s="469">
        <v>1.6999999999999999E-3</v>
      </c>
      <c r="E2483" s="229"/>
      <c r="F2483" s="470">
        <v>8158</v>
      </c>
      <c r="G2483" s="221">
        <v>13.59</v>
      </c>
    </row>
    <row r="2484" spans="2:7" x14ac:dyDescent="0.2">
      <c r="B2484" s="152" t="s">
        <v>633</v>
      </c>
      <c r="C2484" s="219" t="s">
        <v>2</v>
      </c>
      <c r="D2484" s="469">
        <v>1.6999999999999999E-3</v>
      </c>
      <c r="E2484" s="229"/>
      <c r="F2484" s="470">
        <v>9401</v>
      </c>
      <c r="G2484" s="286">
        <v>15.66</v>
      </c>
    </row>
    <row r="2485" spans="2:7" x14ac:dyDescent="0.2">
      <c r="B2485" s="152" t="s">
        <v>634</v>
      </c>
      <c r="C2485" s="219" t="s">
        <v>587</v>
      </c>
      <c r="D2485" s="229">
        <v>4.0000000000000001E-3</v>
      </c>
      <c r="E2485" s="229"/>
      <c r="F2485" s="470">
        <v>41933</v>
      </c>
      <c r="G2485" s="286">
        <v>167.73</v>
      </c>
    </row>
    <row r="2486" spans="2:7" x14ac:dyDescent="0.2">
      <c r="B2486" s="180"/>
      <c r="C2486" s="185"/>
      <c r="D2486" s="181"/>
      <c r="E2486" s="186"/>
      <c r="F2486" s="222"/>
      <c r="G2486" s="230"/>
    </row>
    <row r="2487" spans="2:7" x14ac:dyDescent="0.2">
      <c r="B2487" s="157"/>
      <c r="C2487" s="158"/>
      <c r="D2487" s="156"/>
      <c r="E2487" s="156"/>
      <c r="F2487" s="159" t="s">
        <v>446</v>
      </c>
      <c r="G2487" s="183">
        <v>196.98</v>
      </c>
    </row>
    <row r="2488" spans="2:7" x14ac:dyDescent="0.2">
      <c r="B2488" s="379" t="s">
        <v>447</v>
      </c>
      <c r="C2488" s="158" t="s">
        <v>588</v>
      </c>
      <c r="D2488" s="158" t="s">
        <v>589</v>
      </c>
      <c r="E2488" s="158" t="s">
        <v>590</v>
      </c>
      <c r="F2488" s="380" t="s">
        <v>591</v>
      </c>
      <c r="G2488" s="381" t="s">
        <v>592</v>
      </c>
    </row>
    <row r="2489" spans="2:7" x14ac:dyDescent="0.2">
      <c r="B2489" s="471" t="s">
        <v>583</v>
      </c>
      <c r="C2489" s="472">
        <v>314474</v>
      </c>
      <c r="D2489" s="266">
        <v>1.47</v>
      </c>
      <c r="E2489" s="473">
        <v>462276</v>
      </c>
      <c r="F2489" s="474">
        <v>300</v>
      </c>
      <c r="G2489" s="460">
        <v>1540.92</v>
      </c>
    </row>
    <row r="2490" spans="2:7" x14ac:dyDescent="0.2">
      <c r="B2490" s="475" t="s">
        <v>524</v>
      </c>
      <c r="C2490" s="361">
        <v>107473.5</v>
      </c>
      <c r="D2490" s="362">
        <v>1.47</v>
      </c>
      <c r="E2490" s="363">
        <v>157986</v>
      </c>
      <c r="F2490" s="476">
        <v>300</v>
      </c>
      <c r="G2490" s="311">
        <v>526.62</v>
      </c>
    </row>
    <row r="2491" spans="2:7" x14ac:dyDescent="0.2">
      <c r="B2491" s="475" t="s">
        <v>525</v>
      </c>
      <c r="C2491" s="395">
        <v>272539.5</v>
      </c>
      <c r="D2491" s="415">
        <v>1.47</v>
      </c>
      <c r="E2491" s="363">
        <v>400633</v>
      </c>
      <c r="F2491" s="477">
        <v>600</v>
      </c>
      <c r="G2491" s="182">
        <v>667.72</v>
      </c>
    </row>
    <row r="2492" spans="2:7" x14ac:dyDescent="0.2">
      <c r="B2492" s="180"/>
      <c r="C2492" s="185"/>
      <c r="D2492" s="181"/>
      <c r="E2492" s="170"/>
      <c r="F2492" s="222"/>
      <c r="G2492" s="230"/>
    </row>
    <row r="2493" spans="2:7" x14ac:dyDescent="0.2">
      <c r="B2493" s="157"/>
      <c r="C2493" s="158"/>
      <c r="D2493" s="156"/>
      <c r="E2493" s="156"/>
      <c r="F2493" s="159" t="s">
        <v>449</v>
      </c>
      <c r="G2493" s="183">
        <v>2735.26</v>
      </c>
    </row>
    <row r="2494" spans="2:7" x14ac:dyDescent="0.2">
      <c r="B2494" s="161" t="s">
        <v>450</v>
      </c>
      <c r="C2494" s="158"/>
      <c r="D2494" s="156"/>
      <c r="E2494" s="156"/>
      <c r="F2494" s="159"/>
      <c r="G2494" s="160"/>
    </row>
    <row r="2495" spans="2:7" x14ac:dyDescent="0.2">
      <c r="B2495" s="218" t="s">
        <v>568</v>
      </c>
      <c r="C2495" s="219" t="s">
        <v>2</v>
      </c>
      <c r="D2495" s="478">
        <v>0</v>
      </c>
      <c r="E2495" s="229"/>
      <c r="F2495" s="470">
        <v>2100</v>
      </c>
      <c r="G2495" s="221">
        <v>35</v>
      </c>
    </row>
    <row r="2496" spans="2:7" x14ac:dyDescent="0.2">
      <c r="B2496" s="152" t="s">
        <v>552</v>
      </c>
      <c r="C2496" s="219" t="s">
        <v>2</v>
      </c>
      <c r="D2496" s="478">
        <v>0</v>
      </c>
      <c r="E2496" s="229"/>
      <c r="F2496" s="470">
        <v>1800</v>
      </c>
      <c r="G2496" s="286">
        <v>6</v>
      </c>
    </row>
    <row r="2497" spans="2:7" x14ac:dyDescent="0.2">
      <c r="B2497" s="152" t="s">
        <v>622</v>
      </c>
      <c r="C2497" s="219" t="s">
        <v>2</v>
      </c>
      <c r="D2497" s="478">
        <v>0</v>
      </c>
      <c r="E2497" s="229"/>
      <c r="F2497" s="470">
        <v>7600</v>
      </c>
      <c r="G2497" s="286">
        <v>25.33</v>
      </c>
    </row>
    <row r="2498" spans="2:7" x14ac:dyDescent="0.2">
      <c r="B2498" s="152" t="s">
        <v>623</v>
      </c>
      <c r="C2498" s="219" t="s">
        <v>2</v>
      </c>
      <c r="D2498" s="478">
        <v>0</v>
      </c>
      <c r="E2498" s="229"/>
      <c r="F2498" s="470">
        <v>7600</v>
      </c>
      <c r="G2498" s="286">
        <v>25.33</v>
      </c>
    </row>
    <row r="2499" spans="2:7" x14ac:dyDescent="0.2">
      <c r="B2499" s="152" t="s">
        <v>611</v>
      </c>
      <c r="C2499" s="219" t="s">
        <v>2</v>
      </c>
      <c r="D2499" s="478">
        <v>0</v>
      </c>
      <c r="E2499" s="229"/>
      <c r="F2499" s="470">
        <v>2900</v>
      </c>
      <c r="G2499" s="286">
        <v>9.66</v>
      </c>
    </row>
    <row r="2500" spans="2:7" x14ac:dyDescent="0.2">
      <c r="B2500" s="152" t="s">
        <v>551</v>
      </c>
      <c r="C2500" s="219" t="s">
        <v>2</v>
      </c>
      <c r="D2500" s="478">
        <v>0</v>
      </c>
      <c r="E2500" s="229"/>
      <c r="F2500" s="470">
        <v>1000</v>
      </c>
      <c r="G2500" s="286">
        <v>6.66</v>
      </c>
    </row>
    <row r="2501" spans="2:7" x14ac:dyDescent="0.2">
      <c r="B2501" s="152" t="s">
        <v>569</v>
      </c>
      <c r="C2501" s="219" t="s">
        <v>2</v>
      </c>
      <c r="D2501" s="478">
        <v>0</v>
      </c>
      <c r="E2501" s="229"/>
      <c r="F2501" s="470">
        <v>3700</v>
      </c>
      <c r="G2501" s="286">
        <v>49.33</v>
      </c>
    </row>
    <row r="2502" spans="2:7" x14ac:dyDescent="0.2">
      <c r="B2502" s="152" t="s">
        <v>570</v>
      </c>
      <c r="C2502" s="219" t="s">
        <v>2</v>
      </c>
      <c r="D2502" s="478">
        <v>0</v>
      </c>
      <c r="E2502" s="229"/>
      <c r="F2502" s="470">
        <v>1600</v>
      </c>
      <c r="G2502" s="286">
        <v>5.33</v>
      </c>
    </row>
    <row r="2503" spans="2:7" x14ac:dyDescent="0.2">
      <c r="B2503" s="152" t="s">
        <v>612</v>
      </c>
      <c r="C2503" s="219" t="s">
        <v>2</v>
      </c>
      <c r="D2503" s="478">
        <v>0</v>
      </c>
      <c r="E2503" s="229"/>
      <c r="F2503" s="470">
        <v>500</v>
      </c>
      <c r="G2503" s="286">
        <v>1.66</v>
      </c>
    </row>
    <row r="2504" spans="2:7" x14ac:dyDescent="0.2">
      <c r="B2504" s="180"/>
      <c r="C2504" s="185"/>
      <c r="D2504" s="181"/>
      <c r="E2504" s="186"/>
      <c r="F2504" s="222"/>
      <c r="G2504" s="230"/>
    </row>
    <row r="2505" spans="2:7" x14ac:dyDescent="0.2">
      <c r="B2505" s="157"/>
      <c r="C2505" s="158"/>
      <c r="D2505" s="156"/>
      <c r="E2505" s="156"/>
      <c r="F2505" s="159" t="s">
        <v>452</v>
      </c>
      <c r="G2505" s="183">
        <v>164.3</v>
      </c>
    </row>
    <row r="2506" spans="2:7" x14ac:dyDescent="0.2">
      <c r="B2506" s="157"/>
      <c r="C2506" s="158"/>
      <c r="D2506" s="156"/>
      <c r="E2506" s="156"/>
      <c r="F2506" s="159"/>
      <c r="G2506" s="160"/>
    </row>
    <row r="2507" spans="2:7" ht="17" thickBot="1" x14ac:dyDescent="0.25">
      <c r="B2507" s="206"/>
      <c r="C2507" s="207"/>
      <c r="D2507" s="208"/>
      <c r="E2507" s="209" t="s">
        <v>460</v>
      </c>
      <c r="F2507" s="210" t="s">
        <v>461</v>
      </c>
      <c r="G2507" s="211">
        <v>3097</v>
      </c>
    </row>
    <row r="2508" spans="2:7" ht="17" thickTop="1" x14ac:dyDescent="0.2">
      <c r="B2508" s="212"/>
      <c r="C2508" s="213"/>
      <c r="D2508" s="212"/>
      <c r="E2508" s="212"/>
      <c r="F2508" s="212"/>
      <c r="G2508" s="212"/>
    </row>
    <row r="2509" spans="2:7" x14ac:dyDescent="0.2">
      <c r="B2509" s="212"/>
      <c r="C2509" s="213"/>
      <c r="D2509" s="212"/>
      <c r="E2509" s="212"/>
      <c r="F2509" s="212"/>
      <c r="G2509" s="212"/>
    </row>
    <row r="2510" spans="2:7" ht="17" thickBot="1" x14ac:dyDescent="0.25">
      <c r="B2510" s="212"/>
      <c r="C2510" s="213"/>
      <c r="D2510" s="212"/>
      <c r="E2510" s="212"/>
      <c r="F2510" s="212"/>
      <c r="G2510" s="212"/>
    </row>
    <row r="2511" spans="2:7" ht="17" thickTop="1" x14ac:dyDescent="0.2">
      <c r="B2511" s="537" t="s">
        <v>126</v>
      </c>
      <c r="C2511" s="538"/>
      <c r="D2511" s="538"/>
      <c r="E2511" s="538"/>
      <c r="F2511" s="148"/>
      <c r="G2511" s="149" t="s">
        <v>608</v>
      </c>
    </row>
    <row r="2512" spans="2:7" x14ac:dyDescent="0.2">
      <c r="B2512" s="539"/>
      <c r="C2512" s="540"/>
      <c r="D2512" s="540"/>
      <c r="E2512" s="540"/>
      <c r="F2512" s="150"/>
      <c r="G2512" s="151" t="s">
        <v>477</v>
      </c>
    </row>
    <row r="2513" spans="2:7" x14ac:dyDescent="0.2">
      <c r="B2513" s="152" t="s">
        <v>1</v>
      </c>
      <c r="C2513" s="153" t="s">
        <v>2</v>
      </c>
      <c r="D2513" s="153" t="s">
        <v>3</v>
      </c>
      <c r="E2513" s="153" t="s">
        <v>441</v>
      </c>
      <c r="F2513" s="154" t="s">
        <v>442</v>
      </c>
      <c r="G2513" s="155" t="s">
        <v>443</v>
      </c>
    </row>
    <row r="2514" spans="2:7" x14ac:dyDescent="0.2">
      <c r="B2514" s="157"/>
      <c r="C2514" s="158"/>
      <c r="D2514" s="156"/>
      <c r="E2514" s="156"/>
      <c r="F2514" s="159"/>
      <c r="G2514" s="160"/>
    </row>
    <row r="2515" spans="2:7" x14ac:dyDescent="0.2">
      <c r="B2515" s="161" t="s">
        <v>444</v>
      </c>
      <c r="C2515" s="158"/>
      <c r="D2515" s="156"/>
      <c r="E2515" s="156"/>
      <c r="F2515" s="159"/>
      <c r="G2515" s="160"/>
    </row>
    <row r="2516" spans="2:7" x14ac:dyDescent="0.2">
      <c r="B2516" s="218" t="s">
        <v>632</v>
      </c>
      <c r="C2516" s="219" t="s">
        <v>2</v>
      </c>
      <c r="D2516" s="229">
        <v>1.6666669999999999E-3</v>
      </c>
      <c r="E2516" s="229"/>
      <c r="F2516" s="470">
        <v>8158</v>
      </c>
      <c r="G2516" s="221">
        <v>13.59</v>
      </c>
    </row>
    <row r="2517" spans="2:7" x14ac:dyDescent="0.2">
      <c r="B2517" s="152" t="s">
        <v>633</v>
      </c>
      <c r="C2517" s="219" t="s">
        <v>2</v>
      </c>
      <c r="D2517" s="229">
        <v>1.6666669999999999E-3</v>
      </c>
      <c r="E2517" s="229"/>
      <c r="F2517" s="470">
        <v>9401</v>
      </c>
      <c r="G2517" s="286">
        <v>15.66</v>
      </c>
    </row>
    <row r="2518" spans="2:7" x14ac:dyDescent="0.2">
      <c r="B2518" s="152" t="s">
        <v>634</v>
      </c>
      <c r="C2518" s="219" t="s">
        <v>587</v>
      </c>
      <c r="D2518" s="229">
        <v>4.0000000000000001E-3</v>
      </c>
      <c r="E2518" s="229"/>
      <c r="F2518" s="470">
        <v>41933</v>
      </c>
      <c r="G2518" s="286">
        <v>167.73</v>
      </c>
    </row>
    <row r="2519" spans="2:7" x14ac:dyDescent="0.2">
      <c r="B2519" s="180"/>
      <c r="C2519" s="185"/>
      <c r="D2519" s="181"/>
      <c r="E2519" s="186"/>
      <c r="F2519" s="222"/>
      <c r="G2519" s="230"/>
    </row>
    <row r="2520" spans="2:7" x14ac:dyDescent="0.2">
      <c r="B2520" s="157"/>
      <c r="C2520" s="158"/>
      <c r="D2520" s="156"/>
      <c r="E2520" s="156"/>
      <c r="F2520" s="159" t="s">
        <v>446</v>
      </c>
      <c r="G2520" s="183">
        <v>196.98</v>
      </c>
    </row>
    <row r="2521" spans="2:7" x14ac:dyDescent="0.2">
      <c r="B2521" s="379" t="s">
        <v>447</v>
      </c>
      <c r="C2521" s="158" t="s">
        <v>588</v>
      </c>
      <c r="D2521" s="158" t="s">
        <v>589</v>
      </c>
      <c r="E2521" s="158" t="s">
        <v>590</v>
      </c>
      <c r="F2521" s="380" t="s">
        <v>591</v>
      </c>
      <c r="G2521" s="381" t="s">
        <v>592</v>
      </c>
    </row>
    <row r="2522" spans="2:7" x14ac:dyDescent="0.2">
      <c r="B2522" s="471" t="s">
        <v>523</v>
      </c>
      <c r="C2522" s="472">
        <v>401056</v>
      </c>
      <c r="D2522" s="266">
        <v>1.47</v>
      </c>
      <c r="E2522" s="473">
        <v>589552</v>
      </c>
      <c r="F2522" s="474">
        <v>400</v>
      </c>
      <c r="G2522" s="460">
        <v>1473.88</v>
      </c>
    </row>
    <row r="2523" spans="2:7" x14ac:dyDescent="0.2">
      <c r="B2523" s="475" t="s">
        <v>524</v>
      </c>
      <c r="C2523" s="361">
        <v>107473.5</v>
      </c>
      <c r="D2523" s="362">
        <v>1.47</v>
      </c>
      <c r="E2523" s="363">
        <v>157986</v>
      </c>
      <c r="F2523" s="476">
        <v>400</v>
      </c>
      <c r="G2523" s="311">
        <v>394.97</v>
      </c>
    </row>
    <row r="2524" spans="2:7" x14ac:dyDescent="0.2">
      <c r="B2524" s="475" t="s">
        <v>525</v>
      </c>
      <c r="C2524" s="395">
        <v>272539.5</v>
      </c>
      <c r="D2524" s="415">
        <v>1.47</v>
      </c>
      <c r="E2524" s="363">
        <v>400633</v>
      </c>
      <c r="F2524" s="477">
        <v>800</v>
      </c>
      <c r="G2524" s="182">
        <v>500.79</v>
      </c>
    </row>
    <row r="2525" spans="2:7" x14ac:dyDescent="0.2">
      <c r="B2525" s="180"/>
      <c r="C2525" s="185"/>
      <c r="D2525" s="181"/>
      <c r="E2525" s="170"/>
      <c r="F2525" s="222"/>
      <c r="G2525" s="230"/>
    </row>
    <row r="2526" spans="2:7" x14ac:dyDescent="0.2">
      <c r="B2526" s="157"/>
      <c r="C2526" s="158"/>
      <c r="D2526" s="156"/>
      <c r="E2526" s="156"/>
      <c r="F2526" s="159" t="s">
        <v>449</v>
      </c>
      <c r="G2526" s="183">
        <v>2369.64</v>
      </c>
    </row>
    <row r="2527" spans="2:7" x14ac:dyDescent="0.2">
      <c r="B2527" s="161" t="s">
        <v>450</v>
      </c>
      <c r="C2527" s="158"/>
      <c r="D2527" s="156"/>
      <c r="E2527" s="156"/>
      <c r="F2527" s="159"/>
      <c r="G2527" s="160"/>
    </row>
    <row r="2528" spans="2:7" x14ac:dyDescent="0.2">
      <c r="B2528" s="236"/>
      <c r="C2528" s="185"/>
      <c r="D2528" s="181"/>
      <c r="E2528" s="186"/>
      <c r="F2528" s="222"/>
      <c r="G2528" s="237"/>
    </row>
    <row r="2529" spans="2:7" x14ac:dyDescent="0.2">
      <c r="B2529" s="157"/>
      <c r="C2529" s="158"/>
      <c r="D2529" s="156"/>
      <c r="E2529" s="156"/>
      <c r="F2529" s="159" t="s">
        <v>452</v>
      </c>
      <c r="G2529" s="183" t="s">
        <v>465</v>
      </c>
    </row>
    <row r="2530" spans="2:7" x14ac:dyDescent="0.2">
      <c r="B2530" s="157"/>
      <c r="C2530" s="158"/>
      <c r="D2530" s="156"/>
      <c r="E2530" s="156"/>
      <c r="F2530" s="159"/>
      <c r="G2530" s="160"/>
    </row>
    <row r="2531" spans="2:7" ht="17" thickBot="1" x14ac:dyDescent="0.25">
      <c r="B2531" s="206"/>
      <c r="C2531" s="207"/>
      <c r="D2531" s="208"/>
      <c r="E2531" s="209" t="s">
        <v>460</v>
      </c>
      <c r="F2531" s="210" t="s">
        <v>461</v>
      </c>
      <c r="G2531" s="211">
        <v>2567</v>
      </c>
    </row>
    <row r="2532" spans="2:7" ht="17" thickTop="1" x14ac:dyDescent="0.2">
      <c r="B2532" s="212"/>
      <c r="C2532" s="213"/>
      <c r="D2532" s="212"/>
      <c r="E2532" s="212"/>
      <c r="F2532" s="212"/>
      <c r="G2532" s="212"/>
    </row>
    <row r="2533" spans="2:7" x14ac:dyDescent="0.2">
      <c r="B2533" s="212"/>
      <c r="C2533" s="213"/>
      <c r="D2533" s="212"/>
      <c r="E2533" s="212"/>
      <c r="F2533" s="212"/>
      <c r="G2533" s="212"/>
    </row>
    <row r="2534" spans="2:7" ht="17" thickBot="1" x14ac:dyDescent="0.25">
      <c r="B2534" s="212"/>
      <c r="C2534" s="213"/>
      <c r="D2534" s="212"/>
      <c r="E2534" s="212"/>
      <c r="F2534" s="212"/>
      <c r="G2534" s="212"/>
    </row>
    <row r="2535" spans="2:7" ht="17" thickTop="1" x14ac:dyDescent="0.2">
      <c r="B2535" s="541" t="s">
        <v>132</v>
      </c>
      <c r="C2535" s="542"/>
      <c r="D2535" s="542"/>
      <c r="E2535" s="542"/>
      <c r="F2535" s="416"/>
      <c r="G2535" s="417" t="s">
        <v>635</v>
      </c>
    </row>
    <row r="2536" spans="2:7" x14ac:dyDescent="0.2">
      <c r="B2536" s="543"/>
      <c r="C2536" s="544"/>
      <c r="D2536" s="544"/>
      <c r="E2536" s="544"/>
      <c r="F2536" s="213"/>
      <c r="G2536" s="418" t="s">
        <v>477</v>
      </c>
    </row>
    <row r="2537" spans="2:7" x14ac:dyDescent="0.2">
      <c r="B2537" s="200" t="s">
        <v>1</v>
      </c>
      <c r="C2537" s="169" t="s">
        <v>2</v>
      </c>
      <c r="D2537" s="170" t="s">
        <v>3</v>
      </c>
      <c r="E2537" s="170" t="s">
        <v>441</v>
      </c>
      <c r="F2537" s="222" t="s">
        <v>442</v>
      </c>
      <c r="G2537" s="315" t="s">
        <v>443</v>
      </c>
    </row>
    <row r="2538" spans="2:7" x14ac:dyDescent="0.2">
      <c r="B2538" s="419"/>
      <c r="C2538" s="420"/>
      <c r="D2538" s="421"/>
      <c r="E2538" s="421"/>
      <c r="F2538" s="422"/>
      <c r="G2538" s="350"/>
    </row>
    <row r="2539" spans="2:7" x14ac:dyDescent="0.2">
      <c r="B2539" s="423" t="s">
        <v>444</v>
      </c>
      <c r="C2539" s="420"/>
      <c r="D2539" s="421"/>
      <c r="E2539" s="421"/>
      <c r="F2539" s="422"/>
      <c r="G2539" s="350"/>
    </row>
    <row r="2540" spans="2:7" x14ac:dyDescent="0.2">
      <c r="B2540" s="184"/>
      <c r="C2540" s="185"/>
      <c r="D2540" s="424"/>
      <c r="E2540" s="186"/>
      <c r="F2540" s="222"/>
      <c r="G2540" s="315"/>
    </row>
    <row r="2541" spans="2:7" x14ac:dyDescent="0.2">
      <c r="B2541" s="419"/>
      <c r="C2541" s="420"/>
      <c r="D2541" s="421"/>
      <c r="E2541" s="421"/>
      <c r="F2541" s="422" t="s">
        <v>446</v>
      </c>
      <c r="G2541" s="425" t="s">
        <v>465</v>
      </c>
    </row>
    <row r="2542" spans="2:7" x14ac:dyDescent="0.2">
      <c r="B2542" s="426" t="s">
        <v>447</v>
      </c>
      <c r="C2542" s="420" t="s">
        <v>588</v>
      </c>
      <c r="D2542" s="420" t="s">
        <v>589</v>
      </c>
      <c r="E2542" s="420" t="s">
        <v>590</v>
      </c>
      <c r="F2542" s="427" t="s">
        <v>619</v>
      </c>
      <c r="G2542" s="428" t="s">
        <v>592</v>
      </c>
    </row>
    <row r="2543" spans="2:7" x14ac:dyDescent="0.2">
      <c r="B2543" s="461" t="s">
        <v>631</v>
      </c>
      <c r="C2543" s="462">
        <v>380776</v>
      </c>
      <c r="D2543" s="181">
        <v>1.47</v>
      </c>
      <c r="E2543" s="396">
        <v>559740</v>
      </c>
      <c r="F2543" s="397">
        <v>4</v>
      </c>
      <c r="G2543" s="479">
        <v>139935</v>
      </c>
    </row>
    <row r="2544" spans="2:7" x14ac:dyDescent="0.2">
      <c r="B2544" s="168" t="s">
        <v>524</v>
      </c>
      <c r="C2544" s="462">
        <v>107473.5</v>
      </c>
      <c r="D2544" s="415">
        <v>1.47</v>
      </c>
      <c r="E2544" s="464">
        <v>157986</v>
      </c>
      <c r="F2544" s="480">
        <v>4</v>
      </c>
      <c r="G2544" s="481">
        <v>39497</v>
      </c>
    </row>
    <row r="2545" spans="2:7" x14ac:dyDescent="0.2">
      <c r="B2545" s="259" t="s">
        <v>629</v>
      </c>
      <c r="C2545" s="451">
        <v>272539.5</v>
      </c>
      <c r="D2545" s="415">
        <v>1.47</v>
      </c>
      <c r="E2545" s="363">
        <v>400633</v>
      </c>
      <c r="F2545" s="480">
        <v>11.429</v>
      </c>
      <c r="G2545" s="481">
        <v>35055</v>
      </c>
    </row>
    <row r="2546" spans="2:7" x14ac:dyDescent="0.2">
      <c r="B2546" s="419"/>
      <c r="C2546" s="420"/>
      <c r="D2546" s="421"/>
      <c r="E2546" s="421"/>
      <c r="F2546" s="422" t="s">
        <v>621</v>
      </c>
      <c r="G2546" s="482">
        <v>214487</v>
      </c>
    </row>
    <row r="2547" spans="2:7" x14ac:dyDescent="0.2">
      <c r="B2547" s="423" t="s">
        <v>450</v>
      </c>
      <c r="C2547" s="420"/>
      <c r="D2547" s="421"/>
      <c r="E2547" s="421"/>
      <c r="F2547" s="422"/>
      <c r="G2547" s="350"/>
    </row>
    <row r="2548" spans="2:7" x14ac:dyDescent="0.2">
      <c r="B2548" s="189" t="s">
        <v>551</v>
      </c>
      <c r="C2548" s="190" t="s">
        <v>2</v>
      </c>
      <c r="D2548" s="483">
        <v>0.75</v>
      </c>
      <c r="E2548" s="232"/>
      <c r="F2548" s="341">
        <v>1000</v>
      </c>
      <c r="G2548" s="304">
        <v>750</v>
      </c>
    </row>
    <row r="2549" spans="2:7" x14ac:dyDescent="0.2">
      <c r="B2549" s="200" t="s">
        <v>569</v>
      </c>
      <c r="C2549" s="169" t="s">
        <v>2</v>
      </c>
      <c r="D2549" s="224">
        <v>1.25</v>
      </c>
      <c r="E2549" s="170"/>
      <c r="F2549" s="275">
        <v>3700</v>
      </c>
      <c r="G2549" s="182">
        <v>4625</v>
      </c>
    </row>
    <row r="2550" spans="2:7" x14ac:dyDescent="0.2">
      <c r="B2550" s="419"/>
      <c r="C2550" s="420"/>
      <c r="D2550" s="421"/>
      <c r="E2550" s="421"/>
      <c r="F2550" s="422" t="s">
        <v>624</v>
      </c>
      <c r="G2550" s="425">
        <v>5375</v>
      </c>
    </row>
    <row r="2551" spans="2:7" x14ac:dyDescent="0.2">
      <c r="B2551" s="423" t="s">
        <v>625</v>
      </c>
      <c r="C2551" s="420"/>
      <c r="D2551" s="421"/>
      <c r="E2551" s="421"/>
      <c r="F2551" s="422"/>
      <c r="G2551" s="350"/>
    </row>
    <row r="2552" spans="2:7" x14ac:dyDescent="0.2">
      <c r="B2552" s="184" t="s">
        <v>626</v>
      </c>
      <c r="C2552" s="185" t="s">
        <v>114</v>
      </c>
      <c r="D2552" s="484">
        <v>0.25</v>
      </c>
      <c r="E2552" s="186"/>
      <c r="F2552" s="193">
        <v>150000</v>
      </c>
      <c r="G2552" s="315">
        <v>37500</v>
      </c>
    </row>
    <row r="2553" spans="2:7" x14ac:dyDescent="0.2">
      <c r="B2553" s="200" t="s">
        <v>627</v>
      </c>
      <c r="C2553" s="185" t="s">
        <v>114</v>
      </c>
      <c r="D2553" s="485">
        <v>2.5</v>
      </c>
      <c r="E2553" s="186"/>
      <c r="F2553" s="193">
        <v>6000</v>
      </c>
      <c r="G2553" s="182">
        <v>15000</v>
      </c>
    </row>
    <row r="2554" spans="2:7" x14ac:dyDescent="0.2">
      <c r="B2554" s="239" t="s">
        <v>455</v>
      </c>
      <c r="C2554" s="468" t="s">
        <v>456</v>
      </c>
      <c r="D2554" s="453"/>
      <c r="E2554" s="441"/>
      <c r="F2554" s="442"/>
      <c r="G2554" s="311" t="s">
        <v>465</v>
      </c>
    </row>
    <row r="2555" spans="2:7" x14ac:dyDescent="0.2">
      <c r="B2555" s="419"/>
      <c r="C2555" s="420"/>
      <c r="D2555" s="421"/>
      <c r="E2555" s="421"/>
      <c r="F2555" s="422" t="s">
        <v>628</v>
      </c>
      <c r="G2555" s="443">
        <v>52500</v>
      </c>
    </row>
    <row r="2556" spans="2:7" x14ac:dyDescent="0.2">
      <c r="B2556" s="419"/>
      <c r="C2556" s="420"/>
      <c r="D2556" s="421"/>
      <c r="E2556" s="421"/>
      <c r="F2556" s="422"/>
      <c r="G2556" s="350"/>
    </row>
    <row r="2557" spans="2:7" ht="17" thickBot="1" x14ac:dyDescent="0.25">
      <c r="B2557" s="444"/>
      <c r="C2557" s="445"/>
      <c r="D2557" s="446"/>
      <c r="E2557" s="447" t="s">
        <v>460</v>
      </c>
      <c r="F2557" s="448">
        <v>272361.89</v>
      </c>
      <c r="G2557" s="449">
        <v>272362</v>
      </c>
    </row>
    <row r="2558" spans="2:7" ht="17" thickTop="1" x14ac:dyDescent="0.2">
      <c r="B2558" s="212"/>
      <c r="C2558" s="213"/>
      <c r="D2558" s="212"/>
      <c r="E2558" s="212"/>
      <c r="F2558" s="212"/>
      <c r="G2558" s="212"/>
    </row>
    <row r="2559" spans="2:7" ht="17" thickBot="1" x14ac:dyDescent="0.25">
      <c r="B2559" s="212"/>
      <c r="C2559" s="213"/>
      <c r="D2559" s="212"/>
      <c r="E2559" s="212"/>
      <c r="F2559" s="212"/>
      <c r="G2559" s="212"/>
    </row>
    <row r="2560" spans="2:7" ht="17" thickTop="1" x14ac:dyDescent="0.2">
      <c r="B2560" s="541" t="s">
        <v>133</v>
      </c>
      <c r="C2560" s="542"/>
      <c r="D2560" s="542"/>
      <c r="E2560" s="542"/>
      <c r="F2560" s="416"/>
      <c r="G2560" s="417" t="s">
        <v>635</v>
      </c>
    </row>
    <row r="2561" spans="2:7" x14ac:dyDescent="0.2">
      <c r="B2561" s="543"/>
      <c r="C2561" s="544"/>
      <c r="D2561" s="544"/>
      <c r="E2561" s="544"/>
      <c r="F2561" s="213"/>
      <c r="G2561" s="418" t="s">
        <v>477</v>
      </c>
    </row>
    <row r="2562" spans="2:7" x14ac:dyDescent="0.2">
      <c r="B2562" s="200" t="s">
        <v>1</v>
      </c>
      <c r="C2562" s="169" t="s">
        <v>2</v>
      </c>
      <c r="D2562" s="170" t="s">
        <v>3</v>
      </c>
      <c r="E2562" s="170" t="s">
        <v>441</v>
      </c>
      <c r="F2562" s="222" t="s">
        <v>442</v>
      </c>
      <c r="G2562" s="315" t="s">
        <v>443</v>
      </c>
    </row>
    <row r="2563" spans="2:7" x14ac:dyDescent="0.2">
      <c r="B2563" s="419"/>
      <c r="C2563" s="420"/>
      <c r="D2563" s="421"/>
      <c r="E2563" s="421"/>
      <c r="F2563" s="422"/>
      <c r="G2563" s="350"/>
    </row>
    <row r="2564" spans="2:7" x14ac:dyDescent="0.2">
      <c r="B2564" s="423" t="s">
        <v>444</v>
      </c>
      <c r="C2564" s="420"/>
      <c r="D2564" s="421"/>
      <c r="E2564" s="421"/>
      <c r="F2564" s="422"/>
      <c r="G2564" s="350"/>
    </row>
    <row r="2565" spans="2:7" x14ac:dyDescent="0.2">
      <c r="B2565" s="184"/>
      <c r="C2565" s="185"/>
      <c r="D2565" s="424"/>
      <c r="E2565" s="186"/>
      <c r="F2565" s="222"/>
      <c r="G2565" s="315"/>
    </row>
    <row r="2566" spans="2:7" x14ac:dyDescent="0.2">
      <c r="B2566" s="419"/>
      <c r="C2566" s="420"/>
      <c r="D2566" s="421"/>
      <c r="E2566" s="421"/>
      <c r="F2566" s="422" t="s">
        <v>446</v>
      </c>
      <c r="G2566" s="425" t="s">
        <v>465</v>
      </c>
    </row>
    <row r="2567" spans="2:7" x14ac:dyDescent="0.2">
      <c r="B2567" s="426" t="s">
        <v>447</v>
      </c>
      <c r="C2567" s="420" t="s">
        <v>588</v>
      </c>
      <c r="D2567" s="420" t="s">
        <v>589</v>
      </c>
      <c r="E2567" s="420" t="s">
        <v>590</v>
      </c>
      <c r="F2567" s="427" t="s">
        <v>619</v>
      </c>
      <c r="G2567" s="428" t="s">
        <v>592</v>
      </c>
    </row>
    <row r="2568" spans="2:7" x14ac:dyDescent="0.2">
      <c r="B2568" s="461" t="s">
        <v>631</v>
      </c>
      <c r="C2568" s="462">
        <v>380776</v>
      </c>
      <c r="D2568" s="181">
        <v>1.47</v>
      </c>
      <c r="E2568" s="396">
        <v>559740</v>
      </c>
      <c r="F2568" s="397">
        <v>2</v>
      </c>
      <c r="G2568" s="479">
        <v>279870</v>
      </c>
    </row>
    <row r="2569" spans="2:7" x14ac:dyDescent="0.2">
      <c r="B2569" s="168" t="s">
        <v>524</v>
      </c>
      <c r="C2569" s="462">
        <v>107473.5</v>
      </c>
      <c r="D2569" s="415">
        <v>1.47</v>
      </c>
      <c r="E2569" s="464">
        <v>157986</v>
      </c>
      <c r="F2569" s="467">
        <v>2</v>
      </c>
      <c r="G2569" s="481">
        <v>78993</v>
      </c>
    </row>
    <row r="2570" spans="2:7" x14ac:dyDescent="0.2">
      <c r="B2570" s="259" t="s">
        <v>629</v>
      </c>
      <c r="C2570" s="451">
        <v>272539.5</v>
      </c>
      <c r="D2570" s="415">
        <v>1.47</v>
      </c>
      <c r="E2570" s="363">
        <v>400633</v>
      </c>
      <c r="F2570" s="467">
        <v>5.7140000000000004</v>
      </c>
      <c r="G2570" s="481">
        <v>70111</v>
      </c>
    </row>
    <row r="2571" spans="2:7" x14ac:dyDescent="0.2">
      <c r="B2571" s="419"/>
      <c r="C2571" s="420"/>
      <c r="D2571" s="421"/>
      <c r="E2571" s="421"/>
      <c r="F2571" s="422" t="s">
        <v>621</v>
      </c>
      <c r="G2571" s="425">
        <v>428973.78</v>
      </c>
    </row>
    <row r="2572" spans="2:7" x14ac:dyDescent="0.2">
      <c r="B2572" s="423" t="s">
        <v>450</v>
      </c>
      <c r="C2572" s="420"/>
      <c r="D2572" s="421"/>
      <c r="E2572" s="421"/>
      <c r="F2572" s="422"/>
      <c r="G2572" s="350"/>
    </row>
    <row r="2573" spans="2:7" x14ac:dyDescent="0.2">
      <c r="B2573" s="168" t="s">
        <v>551</v>
      </c>
      <c r="C2573" s="225" t="s">
        <v>2</v>
      </c>
      <c r="D2573" s="192">
        <v>1.5</v>
      </c>
      <c r="E2573" s="192"/>
      <c r="F2573" s="227">
        <v>1000</v>
      </c>
      <c r="G2573" s="466">
        <v>1500</v>
      </c>
    </row>
    <row r="2574" spans="2:7" x14ac:dyDescent="0.2">
      <c r="B2574" s="200" t="s">
        <v>569</v>
      </c>
      <c r="C2574" s="169" t="s">
        <v>2</v>
      </c>
      <c r="D2574" s="170">
        <v>2.5</v>
      </c>
      <c r="E2574" s="170"/>
      <c r="F2574" s="171">
        <v>3700</v>
      </c>
      <c r="G2574" s="182">
        <v>9250</v>
      </c>
    </row>
    <row r="2575" spans="2:7" x14ac:dyDescent="0.2">
      <c r="B2575" s="419"/>
      <c r="C2575" s="420"/>
      <c r="D2575" s="421"/>
      <c r="E2575" s="421"/>
      <c r="F2575" s="422" t="s">
        <v>624</v>
      </c>
      <c r="G2575" s="425">
        <v>10750</v>
      </c>
    </row>
    <row r="2576" spans="2:7" x14ac:dyDescent="0.2">
      <c r="B2576" s="423" t="s">
        <v>625</v>
      </c>
      <c r="C2576" s="420"/>
      <c r="D2576" s="421"/>
      <c r="E2576" s="421"/>
      <c r="F2576" s="422"/>
      <c r="G2576" s="350"/>
    </row>
    <row r="2577" spans="2:7" x14ac:dyDescent="0.2">
      <c r="B2577" s="184" t="s">
        <v>626</v>
      </c>
      <c r="C2577" s="185" t="s">
        <v>114</v>
      </c>
      <c r="D2577" s="484">
        <v>0.5</v>
      </c>
      <c r="E2577" s="186"/>
      <c r="F2577" s="193">
        <v>150000</v>
      </c>
      <c r="G2577" s="315">
        <v>75000</v>
      </c>
    </row>
    <row r="2578" spans="2:7" x14ac:dyDescent="0.2">
      <c r="B2578" s="200" t="s">
        <v>627</v>
      </c>
      <c r="C2578" s="185" t="s">
        <v>114</v>
      </c>
      <c r="D2578" s="485">
        <v>20</v>
      </c>
      <c r="E2578" s="186"/>
      <c r="F2578" s="193">
        <v>6000</v>
      </c>
      <c r="G2578" s="182">
        <v>120000</v>
      </c>
    </row>
    <row r="2579" spans="2:7" x14ac:dyDescent="0.2">
      <c r="B2579" s="239" t="s">
        <v>455</v>
      </c>
      <c r="C2579" s="468" t="s">
        <v>456</v>
      </c>
      <c r="D2579" s="453"/>
      <c r="E2579" s="441"/>
      <c r="F2579" s="442"/>
      <c r="G2579" s="311" t="s">
        <v>465</v>
      </c>
    </row>
    <row r="2580" spans="2:7" x14ac:dyDescent="0.2">
      <c r="B2580" s="419"/>
      <c r="C2580" s="420"/>
      <c r="D2580" s="421"/>
      <c r="E2580" s="421"/>
      <c r="F2580" s="422" t="s">
        <v>628</v>
      </c>
      <c r="G2580" s="443">
        <v>195000</v>
      </c>
    </row>
    <row r="2581" spans="2:7" x14ac:dyDescent="0.2">
      <c r="B2581" s="419"/>
      <c r="C2581" s="420"/>
      <c r="D2581" s="421"/>
      <c r="E2581" s="421"/>
      <c r="F2581" s="422"/>
      <c r="G2581" s="350"/>
    </row>
    <row r="2582" spans="2:7" ht="17" thickBot="1" x14ac:dyDescent="0.25">
      <c r="B2582" s="444"/>
      <c r="C2582" s="445"/>
      <c r="D2582" s="446"/>
      <c r="E2582" s="447" t="s">
        <v>460</v>
      </c>
      <c r="F2582" s="448">
        <v>634723.78</v>
      </c>
      <c r="G2582" s="449">
        <v>634724</v>
      </c>
    </row>
    <row r="2583" spans="2:7" ht="17" thickTop="1" x14ac:dyDescent="0.2">
      <c r="B2583" s="212"/>
      <c r="C2583" s="213"/>
      <c r="D2583" s="212"/>
      <c r="E2583" s="212"/>
      <c r="F2583" s="212"/>
      <c r="G2583" s="212"/>
    </row>
    <row r="2584" spans="2:7" ht="17" thickBot="1" x14ac:dyDescent="0.25">
      <c r="B2584" s="212"/>
      <c r="C2584" s="213"/>
      <c r="D2584" s="212"/>
      <c r="E2584" s="212"/>
      <c r="F2584" s="212"/>
      <c r="G2584" s="212"/>
    </row>
    <row r="2585" spans="2:7" ht="17" thickTop="1" x14ac:dyDescent="0.2">
      <c r="B2585" s="541" t="s">
        <v>134</v>
      </c>
      <c r="C2585" s="542"/>
      <c r="D2585" s="542"/>
      <c r="E2585" s="542"/>
      <c r="F2585" s="416"/>
      <c r="G2585" s="417" t="s">
        <v>635</v>
      </c>
    </row>
    <row r="2586" spans="2:7" x14ac:dyDescent="0.2">
      <c r="B2586" s="543"/>
      <c r="C2586" s="544"/>
      <c r="D2586" s="544"/>
      <c r="E2586" s="544"/>
      <c r="F2586" s="213"/>
      <c r="G2586" s="418" t="s">
        <v>477</v>
      </c>
    </row>
    <row r="2587" spans="2:7" x14ac:dyDescent="0.2">
      <c r="B2587" s="200" t="s">
        <v>1</v>
      </c>
      <c r="C2587" s="169" t="s">
        <v>2</v>
      </c>
      <c r="D2587" s="170" t="s">
        <v>3</v>
      </c>
      <c r="E2587" s="170" t="s">
        <v>441</v>
      </c>
      <c r="F2587" s="222" t="s">
        <v>442</v>
      </c>
      <c r="G2587" s="315" t="s">
        <v>443</v>
      </c>
    </row>
    <row r="2588" spans="2:7" x14ac:dyDescent="0.2">
      <c r="B2588" s="419"/>
      <c r="C2588" s="420"/>
      <c r="D2588" s="421"/>
      <c r="E2588" s="421"/>
      <c r="F2588" s="422"/>
      <c r="G2588" s="350"/>
    </row>
    <row r="2589" spans="2:7" x14ac:dyDescent="0.2">
      <c r="B2589" s="423" t="s">
        <v>444</v>
      </c>
      <c r="C2589" s="420"/>
      <c r="D2589" s="421"/>
      <c r="E2589" s="421"/>
      <c r="F2589" s="422"/>
      <c r="G2589" s="350"/>
    </row>
    <row r="2590" spans="2:7" x14ac:dyDescent="0.2">
      <c r="B2590" s="184"/>
      <c r="C2590" s="185"/>
      <c r="D2590" s="424"/>
      <c r="E2590" s="186"/>
      <c r="F2590" s="222"/>
      <c r="G2590" s="315"/>
    </row>
    <row r="2591" spans="2:7" x14ac:dyDescent="0.2">
      <c r="B2591" s="419"/>
      <c r="C2591" s="420"/>
      <c r="D2591" s="421"/>
      <c r="E2591" s="421"/>
      <c r="F2591" s="422" t="s">
        <v>446</v>
      </c>
      <c r="G2591" s="425" t="s">
        <v>465</v>
      </c>
    </row>
    <row r="2592" spans="2:7" x14ac:dyDescent="0.2">
      <c r="B2592" s="426" t="s">
        <v>447</v>
      </c>
      <c r="C2592" s="420" t="s">
        <v>588</v>
      </c>
      <c r="D2592" s="420" t="s">
        <v>589</v>
      </c>
      <c r="E2592" s="420" t="s">
        <v>590</v>
      </c>
      <c r="F2592" s="427" t="s">
        <v>619</v>
      </c>
      <c r="G2592" s="428" t="s">
        <v>592</v>
      </c>
    </row>
    <row r="2593" spans="2:7" x14ac:dyDescent="0.2">
      <c r="B2593" s="461" t="s">
        <v>631</v>
      </c>
      <c r="C2593" s="462">
        <v>380776</v>
      </c>
      <c r="D2593" s="181">
        <v>1.47</v>
      </c>
      <c r="E2593" s="396">
        <v>559740</v>
      </c>
      <c r="F2593" s="397">
        <v>1.333</v>
      </c>
      <c r="G2593" s="479">
        <v>419805</v>
      </c>
    </row>
    <row r="2594" spans="2:7" x14ac:dyDescent="0.2">
      <c r="B2594" s="168" t="s">
        <v>524</v>
      </c>
      <c r="C2594" s="462">
        <v>107473.5</v>
      </c>
      <c r="D2594" s="415">
        <v>1.47</v>
      </c>
      <c r="E2594" s="464">
        <v>157986</v>
      </c>
      <c r="F2594" s="465">
        <v>1.3332999999999999</v>
      </c>
      <c r="G2594" s="481">
        <v>118490</v>
      </c>
    </row>
    <row r="2595" spans="2:7" x14ac:dyDescent="0.2">
      <c r="B2595" s="259" t="s">
        <v>629</v>
      </c>
      <c r="C2595" s="451">
        <v>272539.5</v>
      </c>
      <c r="D2595" s="415">
        <v>1.47</v>
      </c>
      <c r="E2595" s="363">
        <v>400633</v>
      </c>
      <c r="F2595" s="465">
        <v>3.8094999999999999</v>
      </c>
      <c r="G2595" s="481">
        <v>105166</v>
      </c>
    </row>
    <row r="2596" spans="2:7" x14ac:dyDescent="0.2">
      <c r="B2596" s="419"/>
      <c r="C2596" s="420"/>
      <c r="D2596" s="421"/>
      <c r="E2596" s="421"/>
      <c r="F2596" s="422" t="s">
        <v>621</v>
      </c>
      <c r="G2596" s="425">
        <v>643460.66</v>
      </c>
    </row>
    <row r="2597" spans="2:7" x14ac:dyDescent="0.2">
      <c r="B2597" s="423" t="s">
        <v>450</v>
      </c>
      <c r="C2597" s="420"/>
      <c r="D2597" s="421"/>
      <c r="E2597" s="421"/>
      <c r="F2597" s="422"/>
      <c r="G2597" s="350"/>
    </row>
    <row r="2598" spans="2:7" x14ac:dyDescent="0.2">
      <c r="B2598" s="168" t="s">
        <v>551</v>
      </c>
      <c r="C2598" s="225" t="s">
        <v>2</v>
      </c>
      <c r="D2598" s="192">
        <v>2.25</v>
      </c>
      <c r="E2598" s="192"/>
      <c r="F2598" s="227">
        <v>1000</v>
      </c>
      <c r="G2598" s="466">
        <v>2250</v>
      </c>
    </row>
    <row r="2599" spans="2:7" x14ac:dyDescent="0.2">
      <c r="B2599" s="195" t="s">
        <v>569</v>
      </c>
      <c r="C2599" s="233" t="s">
        <v>2</v>
      </c>
      <c r="D2599" s="226">
        <v>3.75</v>
      </c>
      <c r="E2599" s="226"/>
      <c r="F2599" s="245">
        <v>3700</v>
      </c>
      <c r="G2599" s="311">
        <v>13875</v>
      </c>
    </row>
    <row r="2600" spans="2:7" x14ac:dyDescent="0.2">
      <c r="B2600" s="419"/>
      <c r="C2600" s="420"/>
      <c r="D2600" s="421"/>
      <c r="E2600" s="421"/>
      <c r="F2600" s="422" t="s">
        <v>624</v>
      </c>
      <c r="G2600" s="425">
        <v>16125</v>
      </c>
    </row>
    <row r="2601" spans="2:7" x14ac:dyDescent="0.2">
      <c r="B2601" s="423" t="s">
        <v>625</v>
      </c>
      <c r="C2601" s="420"/>
      <c r="D2601" s="421"/>
      <c r="E2601" s="421"/>
      <c r="F2601" s="422"/>
      <c r="G2601" s="350"/>
    </row>
    <row r="2602" spans="2:7" x14ac:dyDescent="0.2">
      <c r="B2602" s="184" t="s">
        <v>626</v>
      </c>
      <c r="C2602" s="185" t="s">
        <v>114</v>
      </c>
      <c r="D2602" s="484">
        <v>0.75</v>
      </c>
      <c r="E2602" s="186"/>
      <c r="F2602" s="193">
        <v>150000</v>
      </c>
      <c r="G2602" s="315">
        <v>112500</v>
      </c>
    </row>
    <row r="2603" spans="2:7" x14ac:dyDescent="0.2">
      <c r="B2603" s="200" t="s">
        <v>627</v>
      </c>
      <c r="C2603" s="185" t="s">
        <v>114</v>
      </c>
      <c r="D2603" s="485">
        <v>13.3</v>
      </c>
      <c r="E2603" s="186"/>
      <c r="F2603" s="193">
        <v>6000</v>
      </c>
      <c r="G2603" s="182">
        <v>80000</v>
      </c>
    </row>
    <row r="2604" spans="2:7" x14ac:dyDescent="0.2">
      <c r="B2604" s="239" t="s">
        <v>455</v>
      </c>
      <c r="C2604" s="468" t="s">
        <v>456</v>
      </c>
      <c r="D2604" s="453"/>
      <c r="E2604" s="441"/>
      <c r="F2604" s="442"/>
      <c r="G2604" s="311" t="s">
        <v>465</v>
      </c>
    </row>
    <row r="2605" spans="2:7" x14ac:dyDescent="0.2">
      <c r="B2605" s="419"/>
      <c r="C2605" s="420"/>
      <c r="D2605" s="421"/>
      <c r="E2605" s="421"/>
      <c r="F2605" s="422" t="s">
        <v>628</v>
      </c>
      <c r="G2605" s="443">
        <v>192500</v>
      </c>
    </row>
    <row r="2606" spans="2:7" x14ac:dyDescent="0.2">
      <c r="B2606" s="419"/>
      <c r="C2606" s="420"/>
      <c r="D2606" s="421"/>
      <c r="E2606" s="421"/>
      <c r="F2606" s="422"/>
      <c r="G2606" s="350"/>
    </row>
    <row r="2607" spans="2:7" ht="17" thickBot="1" x14ac:dyDescent="0.25">
      <c r="B2607" s="444"/>
      <c r="C2607" s="445"/>
      <c r="D2607" s="446"/>
      <c r="E2607" s="447" t="s">
        <v>460</v>
      </c>
      <c r="F2607" s="448">
        <v>852085.66</v>
      </c>
      <c r="G2607" s="449">
        <v>852086</v>
      </c>
    </row>
    <row r="2608" spans="2:7" ht="17" thickTop="1" x14ac:dyDescent="0.2">
      <c r="B2608" s="212"/>
      <c r="C2608" s="213"/>
      <c r="D2608" s="212"/>
      <c r="E2608" s="212"/>
      <c r="F2608" s="212"/>
      <c r="G2608" s="212"/>
    </row>
    <row r="2609" spans="2:7" ht="17" thickBot="1" x14ac:dyDescent="0.25">
      <c r="B2609" s="212"/>
      <c r="C2609" s="213"/>
      <c r="D2609" s="212"/>
      <c r="E2609" s="212"/>
      <c r="F2609" s="212"/>
      <c r="G2609" s="212"/>
    </row>
    <row r="2610" spans="2:7" ht="17" thickTop="1" x14ac:dyDescent="0.2">
      <c r="B2610" s="541" t="s">
        <v>135</v>
      </c>
      <c r="C2610" s="542"/>
      <c r="D2610" s="542"/>
      <c r="E2610" s="542"/>
      <c r="F2610" s="416"/>
      <c r="G2610" s="417" t="s">
        <v>635</v>
      </c>
    </row>
    <row r="2611" spans="2:7" x14ac:dyDescent="0.2">
      <c r="B2611" s="543"/>
      <c r="C2611" s="544"/>
      <c r="D2611" s="544"/>
      <c r="E2611" s="544"/>
      <c r="F2611" s="213"/>
      <c r="G2611" s="418" t="s">
        <v>477</v>
      </c>
    </row>
    <row r="2612" spans="2:7" x14ac:dyDescent="0.2">
      <c r="B2612" s="200" t="s">
        <v>1</v>
      </c>
      <c r="C2612" s="169" t="s">
        <v>2</v>
      </c>
      <c r="D2612" s="170" t="s">
        <v>3</v>
      </c>
      <c r="E2612" s="170" t="s">
        <v>441</v>
      </c>
      <c r="F2612" s="222" t="s">
        <v>442</v>
      </c>
      <c r="G2612" s="315" t="s">
        <v>443</v>
      </c>
    </row>
    <row r="2613" spans="2:7" x14ac:dyDescent="0.2">
      <c r="B2613" s="419"/>
      <c r="C2613" s="420"/>
      <c r="D2613" s="421"/>
      <c r="E2613" s="421"/>
      <c r="F2613" s="422"/>
      <c r="G2613" s="350"/>
    </row>
    <row r="2614" spans="2:7" x14ac:dyDescent="0.2">
      <c r="B2614" s="423" t="s">
        <v>444</v>
      </c>
      <c r="C2614" s="420"/>
      <c r="D2614" s="421"/>
      <c r="E2614" s="421"/>
      <c r="F2614" s="422"/>
      <c r="G2614" s="350"/>
    </row>
    <row r="2615" spans="2:7" x14ac:dyDescent="0.2">
      <c r="B2615" s="184"/>
      <c r="C2615" s="185"/>
      <c r="D2615" s="424"/>
      <c r="E2615" s="186"/>
      <c r="F2615" s="222"/>
      <c r="G2615" s="315"/>
    </row>
    <row r="2616" spans="2:7" x14ac:dyDescent="0.2">
      <c r="B2616" s="419"/>
      <c r="C2616" s="420"/>
      <c r="D2616" s="421"/>
      <c r="E2616" s="421"/>
      <c r="F2616" s="422" t="s">
        <v>446</v>
      </c>
      <c r="G2616" s="425" t="s">
        <v>465</v>
      </c>
    </row>
    <row r="2617" spans="2:7" x14ac:dyDescent="0.2">
      <c r="B2617" s="426" t="s">
        <v>447</v>
      </c>
      <c r="C2617" s="420" t="s">
        <v>588</v>
      </c>
      <c r="D2617" s="420" t="s">
        <v>589</v>
      </c>
      <c r="E2617" s="420" t="s">
        <v>590</v>
      </c>
      <c r="F2617" s="427" t="s">
        <v>619</v>
      </c>
      <c r="G2617" s="428" t="s">
        <v>592</v>
      </c>
    </row>
    <row r="2618" spans="2:7" x14ac:dyDescent="0.2">
      <c r="B2618" s="461" t="s">
        <v>631</v>
      </c>
      <c r="C2618" s="462">
        <v>380776</v>
      </c>
      <c r="D2618" s="181">
        <v>1.47</v>
      </c>
      <c r="E2618" s="396">
        <v>559740</v>
      </c>
      <c r="F2618" s="397">
        <v>1</v>
      </c>
      <c r="G2618" s="479">
        <v>559740</v>
      </c>
    </row>
    <row r="2619" spans="2:7" x14ac:dyDescent="0.2">
      <c r="B2619" s="168" t="s">
        <v>524</v>
      </c>
      <c r="C2619" s="462">
        <v>107473.5</v>
      </c>
      <c r="D2619" s="415">
        <v>1.47</v>
      </c>
      <c r="E2619" s="464">
        <v>157986</v>
      </c>
      <c r="F2619" s="467">
        <v>1</v>
      </c>
      <c r="G2619" s="481">
        <v>157986</v>
      </c>
    </row>
    <row r="2620" spans="2:7" x14ac:dyDescent="0.2">
      <c r="B2620" s="259" t="s">
        <v>629</v>
      </c>
      <c r="C2620" s="451">
        <v>272539.5</v>
      </c>
      <c r="D2620" s="415">
        <v>1.47</v>
      </c>
      <c r="E2620" s="363">
        <v>400633</v>
      </c>
      <c r="F2620" s="467">
        <v>2.8570000000000002</v>
      </c>
      <c r="G2620" s="481">
        <v>140222</v>
      </c>
    </row>
    <row r="2621" spans="2:7" x14ac:dyDescent="0.2">
      <c r="B2621" s="419"/>
      <c r="C2621" s="420"/>
      <c r="D2621" s="421"/>
      <c r="E2621" s="421"/>
      <c r="F2621" s="422" t="s">
        <v>621</v>
      </c>
      <c r="G2621" s="425">
        <v>857947.55</v>
      </c>
    </row>
    <row r="2622" spans="2:7" x14ac:dyDescent="0.2">
      <c r="B2622" s="423" t="s">
        <v>450</v>
      </c>
      <c r="C2622" s="420"/>
      <c r="D2622" s="421"/>
      <c r="E2622" s="421"/>
      <c r="F2622" s="422"/>
      <c r="G2622" s="350"/>
    </row>
    <row r="2623" spans="2:7" x14ac:dyDescent="0.2">
      <c r="B2623" s="168" t="s">
        <v>551</v>
      </c>
      <c r="C2623" s="225" t="s">
        <v>2</v>
      </c>
      <c r="D2623" s="398">
        <v>3</v>
      </c>
      <c r="E2623" s="192"/>
      <c r="F2623" s="227">
        <v>1000</v>
      </c>
      <c r="G2623" s="466">
        <v>3000</v>
      </c>
    </row>
    <row r="2624" spans="2:7" x14ac:dyDescent="0.2">
      <c r="B2624" s="200" t="s">
        <v>569</v>
      </c>
      <c r="C2624" s="169" t="s">
        <v>2</v>
      </c>
      <c r="D2624" s="398">
        <v>5</v>
      </c>
      <c r="E2624" s="170"/>
      <c r="F2624" s="171">
        <v>3700</v>
      </c>
      <c r="G2624" s="311">
        <v>18500</v>
      </c>
    </row>
    <row r="2625" spans="2:7" x14ac:dyDescent="0.2">
      <c r="B2625" s="419"/>
      <c r="C2625" s="420"/>
      <c r="D2625" s="421"/>
      <c r="E2625" s="421"/>
      <c r="F2625" s="422" t="s">
        <v>624</v>
      </c>
      <c r="G2625" s="425">
        <v>21500</v>
      </c>
    </row>
    <row r="2626" spans="2:7" x14ac:dyDescent="0.2">
      <c r="B2626" s="423" t="s">
        <v>625</v>
      </c>
      <c r="C2626" s="420"/>
      <c r="D2626" s="421"/>
      <c r="E2626" s="421"/>
      <c r="F2626" s="422"/>
      <c r="G2626" s="350"/>
    </row>
    <row r="2627" spans="2:7" x14ac:dyDescent="0.2">
      <c r="B2627" s="184" t="s">
        <v>626</v>
      </c>
      <c r="C2627" s="185" t="s">
        <v>114</v>
      </c>
      <c r="D2627" s="484">
        <v>1</v>
      </c>
      <c r="E2627" s="186"/>
      <c r="F2627" s="193">
        <v>150000</v>
      </c>
      <c r="G2627" s="315">
        <v>150000</v>
      </c>
    </row>
    <row r="2628" spans="2:7" x14ac:dyDescent="0.2">
      <c r="B2628" s="200" t="s">
        <v>627</v>
      </c>
      <c r="C2628" s="185" t="s">
        <v>114</v>
      </c>
      <c r="D2628" s="485">
        <v>10</v>
      </c>
      <c r="E2628" s="186"/>
      <c r="F2628" s="193">
        <v>6000</v>
      </c>
      <c r="G2628" s="182">
        <v>60000</v>
      </c>
    </row>
    <row r="2629" spans="2:7" x14ac:dyDescent="0.2">
      <c r="B2629" s="239" t="s">
        <v>455</v>
      </c>
      <c r="C2629" s="468" t="s">
        <v>456</v>
      </c>
      <c r="D2629" s="453"/>
      <c r="E2629" s="441"/>
      <c r="F2629" s="442"/>
      <c r="G2629" s="311" t="s">
        <v>465</v>
      </c>
    </row>
    <row r="2630" spans="2:7" x14ac:dyDescent="0.2">
      <c r="B2630" s="419"/>
      <c r="C2630" s="420"/>
      <c r="D2630" s="421"/>
      <c r="E2630" s="421"/>
      <c r="F2630" s="422" t="s">
        <v>628</v>
      </c>
      <c r="G2630" s="443">
        <v>210000</v>
      </c>
    </row>
    <row r="2631" spans="2:7" x14ac:dyDescent="0.2">
      <c r="B2631" s="419"/>
      <c r="C2631" s="420"/>
      <c r="D2631" s="421"/>
      <c r="E2631" s="421"/>
      <c r="F2631" s="422"/>
      <c r="G2631" s="350"/>
    </row>
    <row r="2632" spans="2:7" ht="17" thickBot="1" x14ac:dyDescent="0.25">
      <c r="B2632" s="444"/>
      <c r="C2632" s="445"/>
      <c r="D2632" s="446"/>
      <c r="E2632" s="447" t="s">
        <v>460</v>
      </c>
      <c r="F2632" s="448">
        <v>1089447.55</v>
      </c>
      <c r="G2632" s="449">
        <v>1089448</v>
      </c>
    </row>
    <row r="2633" spans="2:7" ht="17" thickTop="1" x14ac:dyDescent="0.2">
      <c r="B2633" s="212"/>
      <c r="C2633" s="213"/>
      <c r="D2633" s="212"/>
      <c r="E2633" s="212"/>
      <c r="F2633" s="212"/>
      <c r="G2633" s="212"/>
    </row>
    <row r="2634" spans="2:7" ht="17" thickBot="1" x14ac:dyDescent="0.25">
      <c r="B2634" s="212"/>
      <c r="C2634" s="213"/>
      <c r="D2634" s="212"/>
      <c r="E2634" s="212"/>
      <c r="F2634" s="212"/>
      <c r="G2634" s="212"/>
    </row>
    <row r="2635" spans="2:7" ht="17" thickTop="1" x14ac:dyDescent="0.2">
      <c r="B2635" s="541" t="s">
        <v>136</v>
      </c>
      <c r="C2635" s="542"/>
      <c r="D2635" s="542"/>
      <c r="E2635" s="542"/>
      <c r="F2635" s="416"/>
      <c r="G2635" s="417" t="s">
        <v>635</v>
      </c>
    </row>
    <row r="2636" spans="2:7" x14ac:dyDescent="0.2">
      <c r="B2636" s="543"/>
      <c r="C2636" s="544"/>
      <c r="D2636" s="544"/>
      <c r="E2636" s="544"/>
      <c r="F2636" s="213"/>
      <c r="G2636" s="418" t="s">
        <v>477</v>
      </c>
    </row>
    <row r="2637" spans="2:7" x14ac:dyDescent="0.2">
      <c r="B2637" s="200" t="s">
        <v>1</v>
      </c>
      <c r="C2637" s="169" t="s">
        <v>2</v>
      </c>
      <c r="D2637" s="170" t="s">
        <v>3</v>
      </c>
      <c r="E2637" s="170" t="s">
        <v>441</v>
      </c>
      <c r="F2637" s="222" t="s">
        <v>442</v>
      </c>
      <c r="G2637" s="315" t="s">
        <v>443</v>
      </c>
    </row>
    <row r="2638" spans="2:7" x14ac:dyDescent="0.2">
      <c r="B2638" s="419"/>
      <c r="C2638" s="420"/>
      <c r="D2638" s="421"/>
      <c r="E2638" s="421"/>
      <c r="F2638" s="422"/>
      <c r="G2638" s="350"/>
    </row>
    <row r="2639" spans="2:7" x14ac:dyDescent="0.2">
      <c r="B2639" s="423" t="s">
        <v>444</v>
      </c>
      <c r="C2639" s="420"/>
      <c r="D2639" s="421"/>
      <c r="E2639" s="421"/>
      <c r="F2639" s="422"/>
      <c r="G2639" s="350"/>
    </row>
    <row r="2640" spans="2:7" x14ac:dyDescent="0.2">
      <c r="B2640" s="184"/>
      <c r="C2640" s="185"/>
      <c r="D2640" s="424"/>
      <c r="E2640" s="186"/>
      <c r="F2640" s="222"/>
      <c r="G2640" s="315"/>
    </row>
    <row r="2641" spans="2:7" x14ac:dyDescent="0.2">
      <c r="B2641" s="419"/>
      <c r="C2641" s="420"/>
      <c r="D2641" s="421"/>
      <c r="E2641" s="421"/>
      <c r="F2641" s="422" t="s">
        <v>446</v>
      </c>
      <c r="G2641" s="425" t="s">
        <v>465</v>
      </c>
    </row>
    <row r="2642" spans="2:7" x14ac:dyDescent="0.2">
      <c r="B2642" s="426" t="s">
        <v>447</v>
      </c>
      <c r="C2642" s="420" t="s">
        <v>588</v>
      </c>
      <c r="D2642" s="420" t="s">
        <v>589</v>
      </c>
      <c r="E2642" s="420" t="s">
        <v>590</v>
      </c>
      <c r="F2642" s="427" t="s">
        <v>619</v>
      </c>
      <c r="G2642" s="428" t="s">
        <v>592</v>
      </c>
    </row>
    <row r="2643" spans="2:7" x14ac:dyDescent="0.2">
      <c r="B2643" s="461" t="s">
        <v>631</v>
      </c>
      <c r="C2643" s="462">
        <v>380776</v>
      </c>
      <c r="D2643" s="181">
        <v>1.47</v>
      </c>
      <c r="E2643" s="396">
        <v>559740</v>
      </c>
      <c r="F2643" s="397">
        <v>0.8</v>
      </c>
      <c r="G2643" s="479">
        <v>699675</v>
      </c>
    </row>
    <row r="2644" spans="2:7" x14ac:dyDescent="0.2">
      <c r="B2644" s="168" t="s">
        <v>524</v>
      </c>
      <c r="C2644" s="462">
        <v>107473.5</v>
      </c>
      <c r="D2644" s="415">
        <v>1.47</v>
      </c>
      <c r="E2644" s="464">
        <v>157986</v>
      </c>
      <c r="F2644" s="465">
        <v>0.8</v>
      </c>
      <c r="G2644" s="481">
        <v>197483</v>
      </c>
    </row>
    <row r="2645" spans="2:7" x14ac:dyDescent="0.2">
      <c r="B2645" s="259" t="s">
        <v>629</v>
      </c>
      <c r="C2645" s="451">
        <v>272539.5</v>
      </c>
      <c r="D2645" s="415">
        <v>1.47</v>
      </c>
      <c r="E2645" s="363">
        <v>400633</v>
      </c>
      <c r="F2645" s="465">
        <v>2.2856999999999998</v>
      </c>
      <c r="G2645" s="481">
        <v>175277</v>
      </c>
    </row>
    <row r="2646" spans="2:7" x14ac:dyDescent="0.2">
      <c r="B2646" s="419"/>
      <c r="C2646" s="420"/>
      <c r="D2646" s="421"/>
      <c r="E2646" s="421"/>
      <c r="F2646" s="422" t="s">
        <v>621</v>
      </c>
      <c r="G2646" s="425">
        <v>1072434.44</v>
      </c>
    </row>
    <row r="2647" spans="2:7" x14ac:dyDescent="0.2">
      <c r="B2647" s="423" t="s">
        <v>450</v>
      </c>
      <c r="C2647" s="420"/>
      <c r="D2647" s="421"/>
      <c r="E2647" s="421"/>
      <c r="F2647" s="422"/>
      <c r="G2647" s="350"/>
    </row>
    <row r="2648" spans="2:7" x14ac:dyDescent="0.2">
      <c r="B2648" s="168" t="s">
        <v>551</v>
      </c>
      <c r="C2648" s="225" t="s">
        <v>2</v>
      </c>
      <c r="D2648" s="192">
        <v>3.75</v>
      </c>
      <c r="E2648" s="192"/>
      <c r="F2648" s="227">
        <v>1000</v>
      </c>
      <c r="G2648" s="466">
        <v>3750</v>
      </c>
    </row>
    <row r="2649" spans="2:7" x14ac:dyDescent="0.2">
      <c r="B2649" s="200" t="s">
        <v>569</v>
      </c>
      <c r="C2649" s="169" t="s">
        <v>2</v>
      </c>
      <c r="D2649" s="170">
        <v>6.25</v>
      </c>
      <c r="E2649" s="170"/>
      <c r="F2649" s="171">
        <v>3700</v>
      </c>
      <c r="G2649" s="182">
        <v>23125</v>
      </c>
    </row>
    <row r="2650" spans="2:7" x14ac:dyDescent="0.2">
      <c r="B2650" s="419"/>
      <c r="C2650" s="420"/>
      <c r="D2650" s="421"/>
      <c r="E2650" s="421"/>
      <c r="F2650" s="422" t="s">
        <v>624</v>
      </c>
      <c r="G2650" s="425">
        <v>26875</v>
      </c>
    </row>
    <row r="2651" spans="2:7" x14ac:dyDescent="0.2">
      <c r="B2651" s="423" t="s">
        <v>625</v>
      </c>
      <c r="C2651" s="420"/>
      <c r="D2651" s="421"/>
      <c r="E2651" s="421"/>
      <c r="F2651" s="422"/>
      <c r="G2651" s="350"/>
    </row>
    <row r="2652" spans="2:7" x14ac:dyDescent="0.2">
      <c r="B2652" s="184" t="s">
        <v>626</v>
      </c>
      <c r="C2652" s="185" t="s">
        <v>114</v>
      </c>
      <c r="D2652" s="484">
        <v>0.8</v>
      </c>
      <c r="E2652" s="186"/>
      <c r="F2652" s="193">
        <v>150000</v>
      </c>
      <c r="G2652" s="315">
        <v>120000</v>
      </c>
    </row>
    <row r="2653" spans="2:7" x14ac:dyDescent="0.2">
      <c r="B2653" s="200" t="s">
        <v>627</v>
      </c>
      <c r="C2653" s="185" t="s">
        <v>114</v>
      </c>
      <c r="D2653" s="485">
        <v>8</v>
      </c>
      <c r="E2653" s="186"/>
      <c r="F2653" s="193">
        <v>6000</v>
      </c>
      <c r="G2653" s="182">
        <v>48000</v>
      </c>
    </row>
    <row r="2654" spans="2:7" x14ac:dyDescent="0.2">
      <c r="B2654" s="239" t="s">
        <v>455</v>
      </c>
      <c r="C2654" s="468" t="s">
        <v>456</v>
      </c>
      <c r="D2654" s="453"/>
      <c r="E2654" s="441"/>
      <c r="F2654" s="442"/>
      <c r="G2654" s="311" t="s">
        <v>465</v>
      </c>
    </row>
    <row r="2655" spans="2:7" x14ac:dyDescent="0.2">
      <c r="B2655" s="419"/>
      <c r="C2655" s="420"/>
      <c r="D2655" s="421"/>
      <c r="E2655" s="421"/>
      <c r="F2655" s="422" t="s">
        <v>628</v>
      </c>
      <c r="G2655" s="443">
        <v>168000</v>
      </c>
    </row>
    <row r="2656" spans="2:7" x14ac:dyDescent="0.2">
      <c r="B2656" s="419"/>
      <c r="C2656" s="420"/>
      <c r="D2656" s="421"/>
      <c r="E2656" s="421"/>
      <c r="F2656" s="422"/>
      <c r="G2656" s="350"/>
    </row>
    <row r="2657" spans="2:7" ht="17" thickBot="1" x14ac:dyDescent="0.25">
      <c r="B2657" s="444"/>
      <c r="C2657" s="445"/>
      <c r="D2657" s="446"/>
      <c r="E2657" s="447" t="s">
        <v>460</v>
      </c>
      <c r="F2657" s="448">
        <v>1267309.44</v>
      </c>
      <c r="G2657" s="449">
        <v>1267309</v>
      </c>
    </row>
    <row r="2658" spans="2:7" ht="17" thickTop="1" x14ac:dyDescent="0.2">
      <c r="B2658" s="212"/>
      <c r="C2658" s="213"/>
      <c r="D2658" s="212"/>
      <c r="E2658" s="212"/>
      <c r="F2658" s="212"/>
      <c r="G2658" s="212"/>
    </row>
    <row r="2659" spans="2:7" ht="17" thickBot="1" x14ac:dyDescent="0.25">
      <c r="B2659" s="212"/>
      <c r="C2659" s="213"/>
      <c r="D2659" s="212"/>
      <c r="E2659" s="212"/>
      <c r="F2659" s="212"/>
      <c r="G2659" s="212"/>
    </row>
    <row r="2660" spans="2:7" ht="17" thickTop="1" x14ac:dyDescent="0.2">
      <c r="B2660" s="537" t="s">
        <v>139</v>
      </c>
      <c r="C2660" s="538"/>
      <c r="D2660" s="538"/>
      <c r="E2660" s="538"/>
      <c r="F2660" s="148"/>
      <c r="G2660" s="149" t="s">
        <v>636</v>
      </c>
    </row>
    <row r="2661" spans="2:7" x14ac:dyDescent="0.2">
      <c r="B2661" s="539"/>
      <c r="C2661" s="540"/>
      <c r="D2661" s="540"/>
      <c r="E2661" s="540"/>
      <c r="F2661" s="150"/>
      <c r="G2661" s="151" t="s">
        <v>477</v>
      </c>
    </row>
    <row r="2662" spans="2:7" x14ac:dyDescent="0.2">
      <c r="B2662" s="152" t="s">
        <v>1</v>
      </c>
      <c r="C2662" s="153" t="s">
        <v>2</v>
      </c>
      <c r="D2662" s="153" t="s">
        <v>3</v>
      </c>
      <c r="E2662" s="153" t="s">
        <v>441</v>
      </c>
      <c r="F2662" s="154" t="s">
        <v>442</v>
      </c>
      <c r="G2662" s="155" t="s">
        <v>443</v>
      </c>
    </row>
    <row r="2663" spans="2:7" x14ac:dyDescent="0.2">
      <c r="B2663" s="157"/>
      <c r="C2663" s="158"/>
      <c r="D2663" s="156"/>
      <c r="E2663" s="156"/>
      <c r="F2663" s="159"/>
      <c r="G2663" s="160"/>
    </row>
    <row r="2664" spans="2:7" x14ac:dyDescent="0.2">
      <c r="B2664" s="161" t="s">
        <v>444</v>
      </c>
      <c r="C2664" s="158"/>
      <c r="D2664" s="156"/>
      <c r="E2664" s="156"/>
      <c r="F2664" s="159"/>
      <c r="G2664" s="160"/>
    </row>
    <row r="2665" spans="2:7" x14ac:dyDescent="0.2">
      <c r="B2665" s="236"/>
      <c r="C2665" s="185"/>
      <c r="D2665" s="181"/>
      <c r="E2665" s="186"/>
      <c r="F2665" s="222"/>
      <c r="G2665" s="237"/>
    </row>
    <row r="2666" spans="2:7" x14ac:dyDescent="0.2">
      <c r="B2666" s="157"/>
      <c r="C2666" s="158"/>
      <c r="D2666" s="156"/>
      <c r="E2666" s="156"/>
      <c r="F2666" s="159" t="s">
        <v>446</v>
      </c>
      <c r="G2666" s="183" t="s">
        <v>465</v>
      </c>
    </row>
    <row r="2667" spans="2:7" x14ac:dyDescent="0.2">
      <c r="B2667" s="379" t="s">
        <v>447</v>
      </c>
      <c r="C2667" s="158" t="s">
        <v>588</v>
      </c>
      <c r="D2667" s="158" t="s">
        <v>589</v>
      </c>
      <c r="E2667" s="158" t="s">
        <v>590</v>
      </c>
      <c r="F2667" s="380" t="s">
        <v>591</v>
      </c>
      <c r="G2667" s="381" t="s">
        <v>592</v>
      </c>
    </row>
    <row r="2668" spans="2:7" x14ac:dyDescent="0.2">
      <c r="B2668" s="471" t="s">
        <v>637</v>
      </c>
      <c r="C2668" s="462">
        <v>94469</v>
      </c>
      <c r="D2668" s="181">
        <v>1.47</v>
      </c>
      <c r="E2668" s="396">
        <v>138869</v>
      </c>
      <c r="F2668" s="397">
        <v>2.5000000000000001E-2</v>
      </c>
      <c r="G2668" s="463">
        <v>3471.73</v>
      </c>
    </row>
    <row r="2669" spans="2:7" x14ac:dyDescent="0.2">
      <c r="B2669" s="180"/>
      <c r="C2669" s="185"/>
      <c r="D2669" s="181"/>
      <c r="E2669" s="186"/>
      <c r="F2669" s="222"/>
      <c r="G2669" s="237"/>
    </row>
    <row r="2670" spans="2:7" x14ac:dyDescent="0.2">
      <c r="B2670" s="157"/>
      <c r="C2670" s="158"/>
      <c r="D2670" s="156"/>
      <c r="E2670" s="156"/>
      <c r="F2670" s="159" t="s">
        <v>449</v>
      </c>
      <c r="G2670" s="183">
        <v>3471.73</v>
      </c>
    </row>
    <row r="2671" spans="2:7" x14ac:dyDescent="0.2">
      <c r="B2671" s="161" t="s">
        <v>450</v>
      </c>
      <c r="C2671" s="158"/>
      <c r="D2671" s="156"/>
      <c r="E2671" s="156"/>
      <c r="F2671" s="159"/>
      <c r="G2671" s="160"/>
    </row>
    <row r="2672" spans="2:7" x14ac:dyDescent="0.2">
      <c r="B2672" s="218" t="s">
        <v>638</v>
      </c>
      <c r="C2672" s="219" t="s">
        <v>2</v>
      </c>
      <c r="D2672" s="229">
        <v>0.25</v>
      </c>
      <c r="E2672" s="229">
        <v>5</v>
      </c>
      <c r="F2672" s="470">
        <v>56757.05</v>
      </c>
      <c r="G2672" s="221">
        <v>14898.72</v>
      </c>
    </row>
    <row r="2673" spans="2:7" x14ac:dyDescent="0.2">
      <c r="B2673" s="180"/>
      <c r="C2673" s="185"/>
      <c r="D2673" s="181"/>
      <c r="E2673" s="186"/>
      <c r="F2673" s="222"/>
      <c r="G2673" s="230"/>
    </row>
    <row r="2674" spans="2:7" x14ac:dyDescent="0.2">
      <c r="B2674" s="157"/>
      <c r="C2674" s="158"/>
      <c r="D2674" s="156"/>
      <c r="E2674" s="156"/>
      <c r="F2674" s="159" t="s">
        <v>452</v>
      </c>
      <c r="G2674" s="183">
        <v>14898.72</v>
      </c>
    </row>
    <row r="2675" spans="2:7" x14ac:dyDescent="0.2">
      <c r="B2675" s="161" t="s">
        <v>453</v>
      </c>
      <c r="C2675" s="158"/>
      <c r="D2675" s="156"/>
      <c r="E2675" s="156"/>
      <c r="F2675" s="159"/>
      <c r="G2675" s="160"/>
    </row>
    <row r="2676" spans="2:7" x14ac:dyDescent="0.2">
      <c r="B2676" s="218" t="s">
        <v>639</v>
      </c>
      <c r="C2676" s="219" t="s">
        <v>286</v>
      </c>
      <c r="D2676" s="229">
        <v>8.3333330000000001E-3</v>
      </c>
      <c r="E2676" s="229"/>
      <c r="F2676" s="470">
        <v>199920</v>
      </c>
      <c r="G2676" s="221">
        <v>1666</v>
      </c>
    </row>
    <row r="2677" spans="2:7" x14ac:dyDescent="0.2">
      <c r="B2677" s="180"/>
      <c r="C2677" s="185"/>
      <c r="D2677" s="181"/>
      <c r="E2677" s="186"/>
      <c r="F2677" s="222"/>
      <c r="G2677" s="230"/>
    </row>
    <row r="2678" spans="2:7" x14ac:dyDescent="0.2">
      <c r="B2678" s="157"/>
      <c r="C2678" s="158"/>
      <c r="D2678" s="156"/>
      <c r="E2678" s="156"/>
      <c r="F2678" s="159" t="s">
        <v>459</v>
      </c>
      <c r="G2678" s="183">
        <v>1666</v>
      </c>
    </row>
    <row r="2679" spans="2:7" x14ac:dyDescent="0.2">
      <c r="B2679" s="157"/>
      <c r="C2679" s="158"/>
      <c r="D2679" s="156"/>
      <c r="E2679" s="156"/>
      <c r="F2679" s="159"/>
      <c r="G2679" s="160"/>
    </row>
    <row r="2680" spans="2:7" ht="17" thickBot="1" x14ac:dyDescent="0.25">
      <c r="B2680" s="206"/>
      <c r="C2680" s="207"/>
      <c r="D2680" s="208"/>
      <c r="E2680" s="209" t="s">
        <v>460</v>
      </c>
      <c r="F2680" s="210">
        <v>937885.01</v>
      </c>
      <c r="G2680" s="211">
        <v>20036</v>
      </c>
    </row>
    <row r="2681" spans="2:7" ht="17" thickTop="1" x14ac:dyDescent="0.2">
      <c r="B2681" s="212"/>
      <c r="C2681" s="213"/>
      <c r="D2681" s="212"/>
      <c r="E2681" s="212"/>
      <c r="F2681" s="212"/>
      <c r="G2681" s="212"/>
    </row>
    <row r="2682" spans="2:7" ht="17" thickBot="1" x14ac:dyDescent="0.25">
      <c r="B2682" s="212"/>
      <c r="C2682" s="213"/>
      <c r="D2682" s="212"/>
      <c r="E2682" s="212"/>
      <c r="F2682" s="212"/>
      <c r="G2682" s="212"/>
    </row>
    <row r="2683" spans="2:7" ht="17" thickTop="1" x14ac:dyDescent="0.2">
      <c r="B2683" s="537" t="s">
        <v>141</v>
      </c>
      <c r="C2683" s="538"/>
      <c r="D2683" s="538"/>
      <c r="E2683" s="538"/>
      <c r="F2683" s="148"/>
      <c r="G2683" s="149" t="s">
        <v>636</v>
      </c>
    </row>
    <row r="2684" spans="2:7" x14ac:dyDescent="0.2">
      <c r="B2684" s="539"/>
      <c r="C2684" s="540"/>
      <c r="D2684" s="540"/>
      <c r="E2684" s="540"/>
      <c r="F2684" s="150"/>
      <c r="G2684" s="151" t="s">
        <v>477</v>
      </c>
    </row>
    <row r="2685" spans="2:7" x14ac:dyDescent="0.2">
      <c r="B2685" s="152" t="s">
        <v>1</v>
      </c>
      <c r="C2685" s="153" t="s">
        <v>2</v>
      </c>
      <c r="D2685" s="153" t="s">
        <v>3</v>
      </c>
      <c r="E2685" s="153" t="s">
        <v>441</v>
      </c>
      <c r="F2685" s="154" t="s">
        <v>442</v>
      </c>
      <c r="G2685" s="155" t="s">
        <v>443</v>
      </c>
    </row>
    <row r="2686" spans="2:7" x14ac:dyDescent="0.2">
      <c r="B2686" s="157"/>
      <c r="C2686" s="158"/>
      <c r="D2686" s="156"/>
      <c r="E2686" s="156"/>
      <c r="F2686" s="159"/>
      <c r="G2686" s="160"/>
    </row>
    <row r="2687" spans="2:7" x14ac:dyDescent="0.2">
      <c r="B2687" s="161" t="s">
        <v>444</v>
      </c>
      <c r="C2687" s="158"/>
      <c r="D2687" s="156"/>
      <c r="E2687" s="156"/>
      <c r="F2687" s="159"/>
      <c r="G2687" s="160"/>
    </row>
    <row r="2688" spans="2:7" x14ac:dyDescent="0.2">
      <c r="B2688" s="236"/>
      <c r="C2688" s="185"/>
      <c r="D2688" s="181"/>
      <c r="E2688" s="186"/>
      <c r="F2688" s="222"/>
      <c r="G2688" s="237"/>
    </row>
    <row r="2689" spans="2:7" x14ac:dyDescent="0.2">
      <c r="B2689" s="157"/>
      <c r="C2689" s="158"/>
      <c r="D2689" s="156"/>
      <c r="E2689" s="156"/>
      <c r="F2689" s="159" t="s">
        <v>446</v>
      </c>
      <c r="G2689" s="183" t="s">
        <v>465</v>
      </c>
    </row>
    <row r="2690" spans="2:7" x14ac:dyDescent="0.2">
      <c r="B2690" s="379" t="s">
        <v>447</v>
      </c>
      <c r="C2690" s="158" t="s">
        <v>588</v>
      </c>
      <c r="D2690" s="158" t="s">
        <v>589</v>
      </c>
      <c r="E2690" s="158" t="s">
        <v>590</v>
      </c>
      <c r="F2690" s="380" t="s">
        <v>591</v>
      </c>
      <c r="G2690" s="381" t="s">
        <v>592</v>
      </c>
    </row>
    <row r="2691" spans="2:7" x14ac:dyDescent="0.2">
      <c r="B2691" s="471" t="s">
        <v>637</v>
      </c>
      <c r="C2691" s="462">
        <v>94469</v>
      </c>
      <c r="D2691" s="181">
        <v>1.47</v>
      </c>
      <c r="E2691" s="396">
        <v>138869</v>
      </c>
      <c r="F2691" s="397">
        <v>3.7999999999999999E-2</v>
      </c>
      <c r="G2691" s="463">
        <v>5207.59</v>
      </c>
    </row>
    <row r="2692" spans="2:7" x14ac:dyDescent="0.2">
      <c r="B2692" s="180"/>
      <c r="C2692" s="185"/>
      <c r="D2692" s="181"/>
      <c r="E2692" s="186"/>
      <c r="F2692" s="222"/>
      <c r="G2692" s="237"/>
    </row>
    <row r="2693" spans="2:7" x14ac:dyDescent="0.2">
      <c r="B2693" s="157"/>
      <c r="C2693" s="158"/>
      <c r="D2693" s="156"/>
      <c r="E2693" s="156"/>
      <c r="F2693" s="159" t="s">
        <v>449</v>
      </c>
      <c r="G2693" s="183">
        <v>5207.59</v>
      </c>
    </row>
    <row r="2694" spans="2:7" x14ac:dyDescent="0.2">
      <c r="B2694" s="161" t="s">
        <v>450</v>
      </c>
      <c r="C2694" s="158"/>
      <c r="D2694" s="156"/>
      <c r="E2694" s="156"/>
      <c r="F2694" s="159"/>
      <c r="G2694" s="160"/>
    </row>
    <row r="2695" spans="2:7" x14ac:dyDescent="0.2">
      <c r="B2695" s="218" t="s">
        <v>638</v>
      </c>
      <c r="C2695" s="219" t="s">
        <v>2</v>
      </c>
      <c r="D2695" s="229">
        <v>0.5</v>
      </c>
      <c r="E2695" s="229">
        <v>5</v>
      </c>
      <c r="F2695" s="470">
        <v>56757.05</v>
      </c>
      <c r="G2695" s="221">
        <v>29797.45</v>
      </c>
    </row>
    <row r="2696" spans="2:7" x14ac:dyDescent="0.2">
      <c r="B2696" s="180"/>
      <c r="C2696" s="185"/>
      <c r="D2696" s="181"/>
      <c r="E2696" s="186"/>
      <c r="F2696" s="222"/>
      <c r="G2696" s="230"/>
    </row>
    <row r="2697" spans="2:7" x14ac:dyDescent="0.2">
      <c r="B2697" s="157"/>
      <c r="C2697" s="158"/>
      <c r="D2697" s="156"/>
      <c r="E2697" s="156"/>
      <c r="F2697" s="159" t="s">
        <v>452</v>
      </c>
      <c r="G2697" s="183">
        <v>29797.45</v>
      </c>
    </row>
    <row r="2698" spans="2:7" x14ac:dyDescent="0.2">
      <c r="B2698" s="161" t="s">
        <v>453</v>
      </c>
      <c r="C2698" s="158"/>
      <c r="D2698" s="156"/>
      <c r="E2698" s="156"/>
      <c r="F2698" s="159"/>
      <c r="G2698" s="160"/>
    </row>
    <row r="2699" spans="2:7" x14ac:dyDescent="0.2">
      <c r="B2699" s="218" t="s">
        <v>639</v>
      </c>
      <c r="C2699" s="219" t="s">
        <v>286</v>
      </c>
      <c r="D2699" s="229">
        <v>8.3333330000000001E-3</v>
      </c>
      <c r="E2699" s="229"/>
      <c r="F2699" s="470">
        <v>199920</v>
      </c>
      <c r="G2699" s="221">
        <v>1666</v>
      </c>
    </row>
    <row r="2700" spans="2:7" x14ac:dyDescent="0.2">
      <c r="B2700" s="180"/>
      <c r="C2700" s="185"/>
      <c r="D2700" s="181"/>
      <c r="E2700" s="186"/>
      <c r="F2700" s="222"/>
      <c r="G2700" s="230"/>
    </row>
    <row r="2701" spans="2:7" x14ac:dyDescent="0.2">
      <c r="B2701" s="157"/>
      <c r="C2701" s="158"/>
      <c r="D2701" s="156"/>
      <c r="E2701" s="156"/>
      <c r="F2701" s="159" t="s">
        <v>459</v>
      </c>
      <c r="G2701" s="183">
        <v>1666</v>
      </c>
    </row>
    <row r="2702" spans="2:7" x14ac:dyDescent="0.2">
      <c r="B2702" s="157"/>
      <c r="C2702" s="158"/>
      <c r="D2702" s="156"/>
      <c r="E2702" s="156"/>
      <c r="F2702" s="159"/>
      <c r="G2702" s="160"/>
    </row>
    <row r="2703" spans="2:7" ht="17" thickBot="1" x14ac:dyDescent="0.25">
      <c r="B2703" s="206"/>
      <c r="C2703" s="207"/>
      <c r="D2703" s="208"/>
      <c r="E2703" s="209" t="s">
        <v>460</v>
      </c>
      <c r="F2703" s="210">
        <v>5199.58</v>
      </c>
      <c r="G2703" s="211">
        <v>36671</v>
      </c>
    </row>
    <row r="2704" spans="2:7" ht="17" thickTop="1" x14ac:dyDescent="0.2">
      <c r="B2704" s="212"/>
      <c r="C2704" s="213"/>
      <c r="D2704" s="212"/>
      <c r="E2704" s="212"/>
      <c r="F2704" s="212"/>
      <c r="G2704" s="212"/>
    </row>
    <row r="2705" spans="2:7" x14ac:dyDescent="0.2">
      <c r="B2705" s="212"/>
      <c r="C2705" s="213"/>
      <c r="D2705" s="212"/>
      <c r="E2705" s="212"/>
      <c r="F2705" s="212"/>
      <c r="G2705" s="212"/>
    </row>
    <row r="2706" spans="2:7" ht="17" thickBot="1" x14ac:dyDescent="0.25">
      <c r="B2706" s="212"/>
      <c r="C2706" s="213"/>
      <c r="D2706" s="212"/>
      <c r="E2706" s="212"/>
      <c r="F2706" s="212"/>
      <c r="G2706" s="212"/>
    </row>
    <row r="2707" spans="2:7" ht="17" thickTop="1" x14ac:dyDescent="0.2">
      <c r="B2707" s="537" t="s">
        <v>143</v>
      </c>
      <c r="C2707" s="538"/>
      <c r="D2707" s="538"/>
      <c r="E2707" s="538"/>
      <c r="F2707" s="148"/>
      <c r="G2707" s="149" t="s">
        <v>636</v>
      </c>
    </row>
    <row r="2708" spans="2:7" x14ac:dyDescent="0.2">
      <c r="B2708" s="539"/>
      <c r="C2708" s="540"/>
      <c r="D2708" s="540"/>
      <c r="E2708" s="540"/>
      <c r="F2708" s="150"/>
      <c r="G2708" s="151" t="s">
        <v>477</v>
      </c>
    </row>
    <row r="2709" spans="2:7" x14ac:dyDescent="0.2">
      <c r="B2709" s="152" t="s">
        <v>1</v>
      </c>
      <c r="C2709" s="153" t="s">
        <v>2</v>
      </c>
      <c r="D2709" s="153" t="s">
        <v>3</v>
      </c>
      <c r="E2709" s="153" t="s">
        <v>441</v>
      </c>
      <c r="F2709" s="154" t="s">
        <v>442</v>
      </c>
      <c r="G2709" s="155" t="s">
        <v>443</v>
      </c>
    </row>
    <row r="2710" spans="2:7" x14ac:dyDescent="0.2">
      <c r="B2710" s="157"/>
      <c r="C2710" s="158"/>
      <c r="D2710" s="156"/>
      <c r="E2710" s="156"/>
      <c r="F2710" s="159"/>
      <c r="G2710" s="160"/>
    </row>
    <row r="2711" spans="2:7" x14ac:dyDescent="0.2">
      <c r="B2711" s="161" t="s">
        <v>444</v>
      </c>
      <c r="C2711" s="158"/>
      <c r="D2711" s="156"/>
      <c r="E2711" s="156"/>
      <c r="F2711" s="159"/>
      <c r="G2711" s="160"/>
    </row>
    <row r="2712" spans="2:7" x14ac:dyDescent="0.2">
      <c r="B2712" s="236"/>
      <c r="C2712" s="185"/>
      <c r="D2712" s="181"/>
      <c r="E2712" s="186"/>
      <c r="F2712" s="222"/>
      <c r="G2712" s="237"/>
    </row>
    <row r="2713" spans="2:7" x14ac:dyDescent="0.2">
      <c r="B2713" s="157"/>
      <c r="C2713" s="158"/>
      <c r="D2713" s="156"/>
      <c r="E2713" s="156"/>
      <c r="F2713" s="159" t="s">
        <v>446</v>
      </c>
      <c r="G2713" s="183" t="s">
        <v>465</v>
      </c>
    </row>
    <row r="2714" spans="2:7" x14ac:dyDescent="0.2">
      <c r="B2714" s="379" t="s">
        <v>447</v>
      </c>
      <c r="C2714" s="158" t="s">
        <v>588</v>
      </c>
      <c r="D2714" s="158" t="s">
        <v>589</v>
      </c>
      <c r="E2714" s="158" t="s">
        <v>590</v>
      </c>
      <c r="F2714" s="380" t="s">
        <v>591</v>
      </c>
      <c r="G2714" s="381" t="s">
        <v>592</v>
      </c>
    </row>
    <row r="2715" spans="2:7" x14ac:dyDescent="0.2">
      <c r="B2715" s="471" t="s">
        <v>637</v>
      </c>
      <c r="C2715" s="462">
        <v>94469</v>
      </c>
      <c r="D2715" s="181">
        <v>1.47</v>
      </c>
      <c r="E2715" s="396">
        <v>138869</v>
      </c>
      <c r="F2715" s="397">
        <v>0.05</v>
      </c>
      <c r="G2715" s="463">
        <v>6943.45</v>
      </c>
    </row>
    <row r="2716" spans="2:7" x14ac:dyDescent="0.2">
      <c r="B2716" s="180"/>
      <c r="C2716" s="185"/>
      <c r="D2716" s="181"/>
      <c r="E2716" s="186"/>
      <c r="F2716" s="222"/>
      <c r="G2716" s="237"/>
    </row>
    <row r="2717" spans="2:7" x14ac:dyDescent="0.2">
      <c r="B2717" s="157"/>
      <c r="C2717" s="158"/>
      <c r="D2717" s="156"/>
      <c r="E2717" s="156"/>
      <c r="F2717" s="159" t="s">
        <v>449</v>
      </c>
      <c r="G2717" s="183">
        <v>6943.45</v>
      </c>
    </row>
    <row r="2718" spans="2:7" x14ac:dyDescent="0.2">
      <c r="B2718" s="161" t="s">
        <v>450</v>
      </c>
      <c r="C2718" s="158"/>
      <c r="D2718" s="156"/>
      <c r="E2718" s="156"/>
      <c r="F2718" s="159"/>
      <c r="G2718" s="160"/>
    </row>
    <row r="2719" spans="2:7" x14ac:dyDescent="0.2">
      <c r="B2719" s="218" t="s">
        <v>638</v>
      </c>
      <c r="C2719" s="219" t="s">
        <v>2</v>
      </c>
      <c r="D2719" s="229">
        <v>0.75</v>
      </c>
      <c r="E2719" s="229">
        <v>5</v>
      </c>
      <c r="F2719" s="470">
        <v>56757.05</v>
      </c>
      <c r="G2719" s="221">
        <v>44696.17</v>
      </c>
    </row>
    <row r="2720" spans="2:7" x14ac:dyDescent="0.2">
      <c r="B2720" s="180"/>
      <c r="C2720" s="185"/>
      <c r="D2720" s="181"/>
      <c r="E2720" s="186"/>
      <c r="F2720" s="222"/>
      <c r="G2720" s="230"/>
    </row>
    <row r="2721" spans="2:7" x14ac:dyDescent="0.2">
      <c r="B2721" s="157"/>
      <c r="C2721" s="158"/>
      <c r="D2721" s="156"/>
      <c r="E2721" s="156"/>
      <c r="F2721" s="159" t="s">
        <v>452</v>
      </c>
      <c r="G2721" s="183">
        <v>44696.17</v>
      </c>
    </row>
    <row r="2722" spans="2:7" x14ac:dyDescent="0.2">
      <c r="B2722" s="161" t="s">
        <v>453</v>
      </c>
      <c r="C2722" s="158"/>
      <c r="D2722" s="156"/>
      <c r="E2722" s="156"/>
      <c r="F2722" s="159"/>
      <c r="G2722" s="160"/>
    </row>
    <row r="2723" spans="2:7" x14ac:dyDescent="0.2">
      <c r="B2723" s="218" t="s">
        <v>639</v>
      </c>
      <c r="C2723" s="219" t="s">
        <v>286</v>
      </c>
      <c r="D2723" s="229">
        <v>8.3333330000000001E-3</v>
      </c>
      <c r="E2723" s="229"/>
      <c r="F2723" s="470">
        <v>199920</v>
      </c>
      <c r="G2723" s="221">
        <v>1666</v>
      </c>
    </row>
    <row r="2724" spans="2:7" x14ac:dyDescent="0.2">
      <c r="B2724" s="180"/>
      <c r="C2724" s="185"/>
      <c r="D2724" s="181"/>
      <c r="E2724" s="186"/>
      <c r="F2724" s="222"/>
      <c r="G2724" s="230"/>
    </row>
    <row r="2725" spans="2:7" x14ac:dyDescent="0.2">
      <c r="B2725" s="157"/>
      <c r="C2725" s="158"/>
      <c r="D2725" s="156"/>
      <c r="E2725" s="156"/>
      <c r="F2725" s="159" t="s">
        <v>459</v>
      </c>
      <c r="G2725" s="183">
        <v>1666</v>
      </c>
    </row>
    <row r="2726" spans="2:7" x14ac:dyDescent="0.2">
      <c r="B2726" s="157"/>
      <c r="C2726" s="158"/>
      <c r="D2726" s="156"/>
      <c r="E2726" s="156"/>
      <c r="F2726" s="159"/>
      <c r="G2726" s="160"/>
    </row>
    <row r="2727" spans="2:7" ht="17" thickBot="1" x14ac:dyDescent="0.25">
      <c r="B2727" s="206"/>
      <c r="C2727" s="207"/>
      <c r="D2727" s="208"/>
      <c r="E2727" s="209" t="s">
        <v>460</v>
      </c>
      <c r="F2727" s="210">
        <v>295463.31</v>
      </c>
      <c r="G2727" s="211">
        <v>53306</v>
      </c>
    </row>
    <row r="2728" spans="2:7" ht="17" thickTop="1" x14ac:dyDescent="0.2">
      <c r="B2728" s="212"/>
      <c r="C2728" s="213"/>
      <c r="D2728" s="212"/>
      <c r="E2728" s="212"/>
      <c r="F2728" s="212"/>
      <c r="G2728" s="212"/>
    </row>
    <row r="2729" spans="2:7" x14ac:dyDescent="0.2">
      <c r="B2729" s="212"/>
      <c r="C2729" s="213"/>
      <c r="D2729" s="212"/>
      <c r="E2729" s="212"/>
      <c r="F2729" s="212"/>
      <c r="G2729" s="212"/>
    </row>
    <row r="2730" spans="2:7" ht="17" thickBot="1" x14ac:dyDescent="0.25">
      <c r="B2730" s="212"/>
      <c r="C2730" s="213"/>
      <c r="D2730" s="212"/>
      <c r="E2730" s="212"/>
      <c r="F2730" s="212"/>
      <c r="G2730" s="212"/>
    </row>
    <row r="2731" spans="2:7" ht="17" thickTop="1" x14ac:dyDescent="0.2">
      <c r="B2731" s="537" t="s">
        <v>144</v>
      </c>
      <c r="C2731" s="538"/>
      <c r="D2731" s="538"/>
      <c r="E2731" s="538"/>
      <c r="F2731" s="148"/>
      <c r="G2731" s="149" t="s">
        <v>636</v>
      </c>
    </row>
    <row r="2732" spans="2:7" x14ac:dyDescent="0.2">
      <c r="B2732" s="539"/>
      <c r="C2732" s="540"/>
      <c r="D2732" s="540"/>
      <c r="E2732" s="540"/>
      <c r="F2732" s="150"/>
      <c r="G2732" s="151" t="s">
        <v>477</v>
      </c>
    </row>
    <row r="2733" spans="2:7" x14ac:dyDescent="0.2">
      <c r="B2733" s="152" t="s">
        <v>1</v>
      </c>
      <c r="C2733" s="153" t="s">
        <v>2</v>
      </c>
      <c r="D2733" s="153" t="s">
        <v>3</v>
      </c>
      <c r="E2733" s="153" t="s">
        <v>441</v>
      </c>
      <c r="F2733" s="154" t="s">
        <v>442</v>
      </c>
      <c r="G2733" s="155" t="s">
        <v>443</v>
      </c>
    </row>
    <row r="2734" spans="2:7" x14ac:dyDescent="0.2">
      <c r="B2734" s="157"/>
      <c r="C2734" s="158"/>
      <c r="D2734" s="156"/>
      <c r="E2734" s="156"/>
      <c r="F2734" s="159"/>
      <c r="G2734" s="160"/>
    </row>
    <row r="2735" spans="2:7" x14ac:dyDescent="0.2">
      <c r="B2735" s="161" t="s">
        <v>444</v>
      </c>
      <c r="C2735" s="158"/>
      <c r="D2735" s="156"/>
      <c r="E2735" s="156"/>
      <c r="F2735" s="159"/>
      <c r="G2735" s="160"/>
    </row>
    <row r="2736" spans="2:7" x14ac:dyDescent="0.2">
      <c r="B2736" s="236"/>
      <c r="C2736" s="185"/>
      <c r="D2736" s="181"/>
      <c r="E2736" s="186"/>
      <c r="F2736" s="222"/>
      <c r="G2736" s="237"/>
    </row>
    <row r="2737" spans="2:7" x14ac:dyDescent="0.2">
      <c r="B2737" s="157"/>
      <c r="C2737" s="158"/>
      <c r="D2737" s="156"/>
      <c r="E2737" s="156"/>
      <c r="F2737" s="159" t="s">
        <v>446</v>
      </c>
      <c r="G2737" s="183" t="s">
        <v>465</v>
      </c>
    </row>
    <row r="2738" spans="2:7" x14ac:dyDescent="0.2">
      <c r="B2738" s="379" t="s">
        <v>447</v>
      </c>
      <c r="C2738" s="158" t="s">
        <v>588</v>
      </c>
      <c r="D2738" s="158" t="s">
        <v>589</v>
      </c>
      <c r="E2738" s="158" t="s">
        <v>590</v>
      </c>
      <c r="F2738" s="380" t="s">
        <v>591</v>
      </c>
      <c r="G2738" s="381" t="s">
        <v>592</v>
      </c>
    </row>
    <row r="2739" spans="2:7" x14ac:dyDescent="0.2">
      <c r="B2739" s="471" t="s">
        <v>637</v>
      </c>
      <c r="C2739" s="462">
        <v>94469</v>
      </c>
      <c r="D2739" s="181">
        <v>1.47</v>
      </c>
      <c r="E2739" s="396">
        <v>138869</v>
      </c>
      <c r="F2739" s="397">
        <v>0.05</v>
      </c>
      <c r="G2739" s="463">
        <v>6943.45</v>
      </c>
    </row>
    <row r="2740" spans="2:7" x14ac:dyDescent="0.2">
      <c r="B2740" s="180"/>
      <c r="C2740" s="185"/>
      <c r="D2740" s="181"/>
      <c r="E2740" s="186"/>
      <c r="F2740" s="222"/>
      <c r="G2740" s="237"/>
    </row>
    <row r="2741" spans="2:7" x14ac:dyDescent="0.2">
      <c r="B2741" s="157"/>
      <c r="C2741" s="158"/>
      <c r="D2741" s="156"/>
      <c r="E2741" s="156"/>
      <c r="F2741" s="159" t="s">
        <v>449</v>
      </c>
      <c r="G2741" s="183">
        <v>6943.45</v>
      </c>
    </row>
    <row r="2742" spans="2:7" x14ac:dyDescent="0.2">
      <c r="B2742" s="161" t="s">
        <v>450</v>
      </c>
      <c r="C2742" s="158"/>
      <c r="D2742" s="156"/>
      <c r="E2742" s="156"/>
      <c r="F2742" s="159"/>
      <c r="G2742" s="160"/>
    </row>
    <row r="2743" spans="2:7" x14ac:dyDescent="0.2">
      <c r="B2743" s="218" t="s">
        <v>638</v>
      </c>
      <c r="C2743" s="219" t="s">
        <v>2</v>
      </c>
      <c r="D2743" s="229">
        <v>1</v>
      </c>
      <c r="E2743" s="229">
        <v>5</v>
      </c>
      <c r="F2743" s="470">
        <v>56757.05</v>
      </c>
      <c r="G2743" s="221">
        <v>59594.9</v>
      </c>
    </row>
    <row r="2744" spans="2:7" x14ac:dyDescent="0.2">
      <c r="B2744" s="180"/>
      <c r="C2744" s="185"/>
      <c r="D2744" s="181"/>
      <c r="E2744" s="186"/>
      <c r="F2744" s="222"/>
      <c r="G2744" s="230"/>
    </row>
    <row r="2745" spans="2:7" x14ac:dyDescent="0.2">
      <c r="B2745" s="157"/>
      <c r="C2745" s="158"/>
      <c r="D2745" s="156"/>
      <c r="E2745" s="156"/>
      <c r="F2745" s="159" t="s">
        <v>452</v>
      </c>
      <c r="G2745" s="183">
        <v>59594.9</v>
      </c>
    </row>
    <row r="2746" spans="2:7" x14ac:dyDescent="0.2">
      <c r="B2746" s="161" t="s">
        <v>453</v>
      </c>
      <c r="C2746" s="158"/>
      <c r="D2746" s="156"/>
      <c r="E2746" s="156"/>
      <c r="F2746" s="159"/>
      <c r="G2746" s="160"/>
    </row>
    <row r="2747" spans="2:7" x14ac:dyDescent="0.2">
      <c r="B2747" s="218" t="s">
        <v>639</v>
      </c>
      <c r="C2747" s="219" t="s">
        <v>286</v>
      </c>
      <c r="D2747" s="229">
        <v>8.3333330000000001E-3</v>
      </c>
      <c r="E2747" s="229"/>
      <c r="F2747" s="470">
        <v>199920</v>
      </c>
      <c r="G2747" s="221">
        <v>1666</v>
      </c>
    </row>
    <row r="2748" spans="2:7" x14ac:dyDescent="0.2">
      <c r="B2748" s="180"/>
      <c r="C2748" s="185"/>
      <c r="D2748" s="181"/>
      <c r="E2748" s="186"/>
      <c r="F2748" s="222"/>
      <c r="G2748" s="230"/>
    </row>
    <row r="2749" spans="2:7" x14ac:dyDescent="0.2">
      <c r="B2749" s="157"/>
      <c r="C2749" s="158"/>
      <c r="D2749" s="156"/>
      <c r="E2749" s="156"/>
      <c r="F2749" s="159" t="s">
        <v>459</v>
      </c>
      <c r="G2749" s="183">
        <v>1666</v>
      </c>
    </row>
    <row r="2750" spans="2:7" x14ac:dyDescent="0.2">
      <c r="B2750" s="157"/>
      <c r="C2750" s="158"/>
      <c r="D2750" s="156"/>
      <c r="E2750" s="156"/>
      <c r="F2750" s="159"/>
      <c r="G2750" s="160"/>
    </row>
    <row r="2751" spans="2:7" ht="17" thickBot="1" x14ac:dyDescent="0.25">
      <c r="B2751" s="206"/>
      <c r="C2751" s="207"/>
      <c r="D2751" s="208"/>
      <c r="E2751" s="209" t="s">
        <v>460</v>
      </c>
      <c r="F2751" s="210">
        <v>564201.24</v>
      </c>
      <c r="G2751" s="211">
        <v>68204</v>
      </c>
    </row>
    <row r="2752" spans="2:7" ht="17" thickTop="1" x14ac:dyDescent="0.2">
      <c r="B2752" s="212"/>
      <c r="C2752" s="213"/>
      <c r="D2752" s="212"/>
      <c r="E2752" s="212"/>
      <c r="F2752" s="212"/>
      <c r="G2752" s="212"/>
    </row>
    <row r="2753" spans="2:7" x14ac:dyDescent="0.2">
      <c r="B2753" s="212"/>
      <c r="C2753" s="213"/>
      <c r="D2753" s="212"/>
      <c r="E2753" s="212"/>
      <c r="F2753" s="212"/>
      <c r="G2753" s="212"/>
    </row>
    <row r="2754" spans="2:7" ht="17" thickBot="1" x14ac:dyDescent="0.25">
      <c r="B2754" s="212"/>
      <c r="C2754" s="213"/>
      <c r="D2754" s="212"/>
      <c r="E2754" s="212"/>
      <c r="F2754" s="212"/>
      <c r="G2754" s="212"/>
    </row>
    <row r="2755" spans="2:7" ht="17" thickTop="1" x14ac:dyDescent="0.2">
      <c r="B2755" s="537" t="s">
        <v>145</v>
      </c>
      <c r="C2755" s="538"/>
      <c r="D2755" s="538"/>
      <c r="E2755" s="538"/>
      <c r="F2755" s="148"/>
      <c r="G2755" s="149" t="s">
        <v>636</v>
      </c>
    </row>
    <row r="2756" spans="2:7" x14ac:dyDescent="0.2">
      <c r="B2756" s="539"/>
      <c r="C2756" s="540"/>
      <c r="D2756" s="540"/>
      <c r="E2756" s="540"/>
      <c r="F2756" s="150"/>
      <c r="G2756" s="151" t="s">
        <v>477</v>
      </c>
    </row>
    <row r="2757" spans="2:7" x14ac:dyDescent="0.2">
      <c r="B2757" s="152" t="s">
        <v>1</v>
      </c>
      <c r="C2757" s="153" t="s">
        <v>2</v>
      </c>
      <c r="D2757" s="153" t="s">
        <v>3</v>
      </c>
      <c r="E2757" s="153" t="s">
        <v>441</v>
      </c>
      <c r="F2757" s="154" t="s">
        <v>442</v>
      </c>
      <c r="G2757" s="155" t="s">
        <v>443</v>
      </c>
    </row>
    <row r="2758" spans="2:7" x14ac:dyDescent="0.2">
      <c r="B2758" s="157"/>
      <c r="C2758" s="158"/>
      <c r="D2758" s="156"/>
      <c r="E2758" s="156"/>
      <c r="F2758" s="159"/>
      <c r="G2758" s="160"/>
    </row>
    <row r="2759" spans="2:7" x14ac:dyDescent="0.2">
      <c r="B2759" s="161" t="s">
        <v>444</v>
      </c>
      <c r="C2759" s="158"/>
      <c r="D2759" s="156"/>
      <c r="E2759" s="156"/>
      <c r="F2759" s="159"/>
      <c r="G2759" s="160"/>
    </row>
    <row r="2760" spans="2:7" x14ac:dyDescent="0.2">
      <c r="B2760" s="236"/>
      <c r="C2760" s="185"/>
      <c r="D2760" s="181"/>
      <c r="E2760" s="186"/>
      <c r="F2760" s="222"/>
      <c r="G2760" s="237"/>
    </row>
    <row r="2761" spans="2:7" x14ac:dyDescent="0.2">
      <c r="B2761" s="157"/>
      <c r="C2761" s="158"/>
      <c r="D2761" s="156"/>
      <c r="E2761" s="156"/>
      <c r="F2761" s="159" t="s">
        <v>446</v>
      </c>
      <c r="G2761" s="183" t="s">
        <v>465</v>
      </c>
    </row>
    <row r="2762" spans="2:7" x14ac:dyDescent="0.2">
      <c r="B2762" s="379" t="s">
        <v>447</v>
      </c>
      <c r="C2762" s="158" t="s">
        <v>588</v>
      </c>
      <c r="D2762" s="158" t="s">
        <v>589</v>
      </c>
      <c r="E2762" s="158" t="s">
        <v>590</v>
      </c>
      <c r="F2762" s="380" t="s">
        <v>591</v>
      </c>
      <c r="G2762" s="381" t="s">
        <v>592</v>
      </c>
    </row>
    <row r="2763" spans="2:7" x14ac:dyDescent="0.2">
      <c r="B2763" s="471" t="s">
        <v>637</v>
      </c>
      <c r="C2763" s="462">
        <v>94469</v>
      </c>
      <c r="D2763" s="181">
        <v>1.47</v>
      </c>
      <c r="E2763" s="396">
        <v>138869</v>
      </c>
      <c r="F2763" s="397">
        <v>6.3E-2</v>
      </c>
      <c r="G2763" s="463">
        <v>8679.31</v>
      </c>
    </row>
    <row r="2764" spans="2:7" x14ac:dyDescent="0.2">
      <c r="B2764" s="180"/>
      <c r="C2764" s="185"/>
      <c r="D2764" s="181"/>
      <c r="E2764" s="186"/>
      <c r="F2764" s="222"/>
      <c r="G2764" s="237"/>
    </row>
    <row r="2765" spans="2:7" x14ac:dyDescent="0.2">
      <c r="B2765" s="157"/>
      <c r="C2765" s="158"/>
      <c r="D2765" s="156"/>
      <c r="E2765" s="156"/>
      <c r="F2765" s="159" t="s">
        <v>449</v>
      </c>
      <c r="G2765" s="183">
        <v>8679.31</v>
      </c>
    </row>
    <row r="2766" spans="2:7" x14ac:dyDescent="0.2">
      <c r="B2766" s="161" t="s">
        <v>450</v>
      </c>
      <c r="C2766" s="158"/>
      <c r="D2766" s="156"/>
      <c r="E2766" s="156"/>
      <c r="F2766" s="159"/>
      <c r="G2766" s="160"/>
    </row>
    <row r="2767" spans="2:7" x14ac:dyDescent="0.2">
      <c r="B2767" s="218" t="s">
        <v>638</v>
      </c>
      <c r="C2767" s="219" t="s">
        <v>2</v>
      </c>
      <c r="D2767" s="229">
        <v>1.25</v>
      </c>
      <c r="E2767" s="229">
        <v>5</v>
      </c>
      <c r="F2767" s="470">
        <v>56757.05</v>
      </c>
      <c r="G2767" s="221">
        <v>74493.62</v>
      </c>
    </row>
    <row r="2768" spans="2:7" x14ac:dyDescent="0.2">
      <c r="B2768" s="180"/>
      <c r="C2768" s="185"/>
      <c r="D2768" s="181"/>
      <c r="E2768" s="186"/>
      <c r="F2768" s="222"/>
      <c r="G2768" s="230"/>
    </row>
    <row r="2769" spans="2:7" x14ac:dyDescent="0.2">
      <c r="B2769" s="157"/>
      <c r="C2769" s="158"/>
      <c r="D2769" s="156"/>
      <c r="E2769" s="156"/>
      <c r="F2769" s="159" t="s">
        <v>452</v>
      </c>
      <c r="G2769" s="183">
        <v>74493.62</v>
      </c>
    </row>
    <row r="2770" spans="2:7" x14ac:dyDescent="0.2">
      <c r="B2770" s="161" t="s">
        <v>453</v>
      </c>
      <c r="C2770" s="158"/>
      <c r="D2770" s="156"/>
      <c r="E2770" s="156"/>
      <c r="F2770" s="159"/>
      <c r="G2770" s="160"/>
    </row>
    <row r="2771" spans="2:7" x14ac:dyDescent="0.2">
      <c r="B2771" s="218" t="s">
        <v>639</v>
      </c>
      <c r="C2771" s="219" t="s">
        <v>286</v>
      </c>
      <c r="D2771" s="229">
        <v>8.3333330000000001E-3</v>
      </c>
      <c r="E2771" s="229"/>
      <c r="F2771" s="470">
        <v>199920</v>
      </c>
      <c r="G2771" s="221">
        <v>1666</v>
      </c>
    </row>
    <row r="2772" spans="2:7" x14ac:dyDescent="0.2">
      <c r="B2772" s="180"/>
      <c r="C2772" s="185"/>
      <c r="D2772" s="181"/>
      <c r="E2772" s="186"/>
      <c r="F2772" s="222"/>
      <c r="G2772" s="230"/>
    </row>
    <row r="2773" spans="2:7" x14ac:dyDescent="0.2">
      <c r="B2773" s="157"/>
      <c r="C2773" s="158"/>
      <c r="D2773" s="156"/>
      <c r="E2773" s="156"/>
      <c r="F2773" s="159" t="s">
        <v>459</v>
      </c>
      <c r="G2773" s="183">
        <v>1666</v>
      </c>
    </row>
    <row r="2774" spans="2:7" x14ac:dyDescent="0.2">
      <c r="B2774" s="157"/>
      <c r="C2774" s="158"/>
      <c r="D2774" s="156"/>
      <c r="E2774" s="156"/>
      <c r="F2774" s="159"/>
      <c r="G2774" s="160"/>
    </row>
    <row r="2775" spans="2:7" ht="17" thickBot="1" x14ac:dyDescent="0.25">
      <c r="B2775" s="206"/>
      <c r="C2775" s="207"/>
      <c r="D2775" s="208"/>
      <c r="E2775" s="209" t="s">
        <v>460</v>
      </c>
      <c r="F2775" s="210">
        <v>82097.070000000007</v>
      </c>
      <c r="G2775" s="211">
        <v>84839</v>
      </c>
    </row>
    <row r="2776" spans="2:7" ht="17" thickTop="1" x14ac:dyDescent="0.2">
      <c r="B2776" s="212"/>
      <c r="C2776" s="213"/>
      <c r="D2776" s="212"/>
      <c r="E2776" s="212"/>
      <c r="F2776" s="212"/>
      <c r="G2776" s="212"/>
    </row>
    <row r="2777" spans="2:7" x14ac:dyDescent="0.2">
      <c r="B2777" s="212"/>
      <c r="C2777" s="213"/>
      <c r="D2777" s="212"/>
      <c r="E2777" s="212"/>
      <c r="F2777" s="212"/>
      <c r="G2777" s="212"/>
    </row>
    <row r="2778" spans="2:7" ht="17" thickBot="1" x14ac:dyDescent="0.25">
      <c r="B2778" s="212"/>
      <c r="C2778" s="213"/>
      <c r="D2778" s="212"/>
      <c r="E2778" s="212"/>
      <c r="F2778" s="212"/>
      <c r="G2778" s="212"/>
    </row>
    <row r="2779" spans="2:7" ht="17" thickTop="1" x14ac:dyDescent="0.2">
      <c r="B2779" s="537" t="s">
        <v>148</v>
      </c>
      <c r="C2779" s="538"/>
      <c r="D2779" s="538"/>
      <c r="E2779" s="538"/>
      <c r="F2779" s="148"/>
      <c r="G2779" s="149" t="s">
        <v>636</v>
      </c>
    </row>
    <row r="2780" spans="2:7" x14ac:dyDescent="0.2">
      <c r="B2780" s="539"/>
      <c r="C2780" s="540"/>
      <c r="D2780" s="540"/>
      <c r="E2780" s="540"/>
      <c r="F2780" s="150"/>
      <c r="G2780" s="151" t="s">
        <v>477</v>
      </c>
    </row>
    <row r="2781" spans="2:7" x14ac:dyDescent="0.2">
      <c r="B2781" s="152" t="s">
        <v>1</v>
      </c>
      <c r="C2781" s="153" t="s">
        <v>2</v>
      </c>
      <c r="D2781" s="153" t="s">
        <v>3</v>
      </c>
      <c r="E2781" s="153" t="s">
        <v>441</v>
      </c>
      <c r="F2781" s="154" t="s">
        <v>442</v>
      </c>
      <c r="G2781" s="155" t="s">
        <v>443</v>
      </c>
    </row>
    <row r="2782" spans="2:7" x14ac:dyDescent="0.2">
      <c r="B2782" s="157"/>
      <c r="C2782" s="158"/>
      <c r="D2782" s="156"/>
      <c r="E2782" s="156"/>
      <c r="F2782" s="159"/>
      <c r="G2782" s="160"/>
    </row>
    <row r="2783" spans="2:7" x14ac:dyDescent="0.2">
      <c r="B2783" s="161" t="s">
        <v>444</v>
      </c>
      <c r="C2783" s="158"/>
      <c r="D2783" s="156"/>
      <c r="E2783" s="156"/>
      <c r="F2783" s="159"/>
      <c r="G2783" s="160"/>
    </row>
    <row r="2784" spans="2:7" x14ac:dyDescent="0.2">
      <c r="B2784" s="236"/>
      <c r="C2784" s="185"/>
      <c r="D2784" s="181"/>
      <c r="E2784" s="186"/>
      <c r="F2784" s="222"/>
      <c r="G2784" s="237"/>
    </row>
    <row r="2785" spans="2:7" x14ac:dyDescent="0.2">
      <c r="B2785" s="157"/>
      <c r="C2785" s="158"/>
      <c r="D2785" s="156"/>
      <c r="E2785" s="156"/>
      <c r="F2785" s="159" t="s">
        <v>446</v>
      </c>
      <c r="G2785" s="183" t="s">
        <v>465</v>
      </c>
    </row>
    <row r="2786" spans="2:7" x14ac:dyDescent="0.2">
      <c r="B2786" s="379" t="s">
        <v>447</v>
      </c>
      <c r="C2786" s="158" t="s">
        <v>588</v>
      </c>
      <c r="D2786" s="158" t="s">
        <v>589</v>
      </c>
      <c r="E2786" s="158" t="s">
        <v>590</v>
      </c>
      <c r="F2786" s="380" t="s">
        <v>591</v>
      </c>
      <c r="G2786" s="381" t="s">
        <v>592</v>
      </c>
    </row>
    <row r="2787" spans="2:7" x14ac:dyDescent="0.2">
      <c r="B2787" s="471" t="s">
        <v>637</v>
      </c>
      <c r="C2787" s="462">
        <v>94469</v>
      </c>
      <c r="D2787" s="181">
        <v>1.47</v>
      </c>
      <c r="E2787" s="396">
        <v>138869</v>
      </c>
      <c r="F2787" s="397">
        <v>6.3E-2</v>
      </c>
      <c r="G2787" s="463">
        <v>8679.31</v>
      </c>
    </row>
    <row r="2788" spans="2:7" x14ac:dyDescent="0.2">
      <c r="B2788" s="180"/>
      <c r="C2788" s="185"/>
      <c r="D2788" s="181"/>
      <c r="E2788" s="186"/>
      <c r="F2788" s="222"/>
      <c r="G2788" s="237"/>
    </row>
    <row r="2789" spans="2:7" x14ac:dyDescent="0.2">
      <c r="B2789" s="157"/>
      <c r="C2789" s="158"/>
      <c r="D2789" s="156"/>
      <c r="E2789" s="156"/>
      <c r="F2789" s="159" t="s">
        <v>449</v>
      </c>
      <c r="G2789" s="183">
        <v>8679.31</v>
      </c>
    </row>
    <row r="2790" spans="2:7" x14ac:dyDescent="0.2">
      <c r="B2790" s="161" t="s">
        <v>450</v>
      </c>
      <c r="C2790" s="158"/>
      <c r="D2790" s="156"/>
      <c r="E2790" s="156"/>
      <c r="F2790" s="159"/>
      <c r="G2790" s="160"/>
    </row>
    <row r="2791" spans="2:7" x14ac:dyDescent="0.2">
      <c r="B2791" s="218" t="s">
        <v>640</v>
      </c>
      <c r="C2791" s="219" t="s">
        <v>114</v>
      </c>
      <c r="D2791" s="229">
        <v>0.16666666699999999</v>
      </c>
      <c r="E2791" s="229">
        <v>5</v>
      </c>
      <c r="F2791" s="470">
        <v>179673.34</v>
      </c>
      <c r="G2791" s="221">
        <v>31442.83</v>
      </c>
    </row>
    <row r="2792" spans="2:7" x14ac:dyDescent="0.2">
      <c r="B2792" s="180"/>
      <c r="C2792" s="185"/>
      <c r="D2792" s="181"/>
      <c r="E2792" s="186"/>
      <c r="F2792" s="222"/>
      <c r="G2792" s="230"/>
    </row>
    <row r="2793" spans="2:7" x14ac:dyDescent="0.2">
      <c r="B2793" s="157"/>
      <c r="C2793" s="158"/>
      <c r="D2793" s="156"/>
      <c r="E2793" s="156"/>
      <c r="F2793" s="159" t="s">
        <v>452</v>
      </c>
      <c r="G2793" s="183">
        <v>31442.83</v>
      </c>
    </row>
    <row r="2794" spans="2:7" x14ac:dyDescent="0.2">
      <c r="B2794" s="161" t="s">
        <v>453</v>
      </c>
      <c r="C2794" s="158"/>
      <c r="D2794" s="156"/>
      <c r="E2794" s="156"/>
      <c r="F2794" s="159"/>
      <c r="G2794" s="160"/>
    </row>
    <row r="2795" spans="2:7" x14ac:dyDescent="0.2">
      <c r="B2795" s="218" t="s">
        <v>639</v>
      </c>
      <c r="C2795" s="219" t="s">
        <v>286</v>
      </c>
      <c r="D2795" s="229">
        <v>2.7777779999999998E-3</v>
      </c>
      <c r="E2795" s="229"/>
      <c r="F2795" s="470">
        <v>448392</v>
      </c>
      <c r="G2795" s="221">
        <v>1245.53</v>
      </c>
    </row>
    <row r="2796" spans="2:7" x14ac:dyDescent="0.2">
      <c r="B2796" s="180"/>
      <c r="C2796" s="185"/>
      <c r="D2796" s="181"/>
      <c r="E2796" s="186"/>
      <c r="F2796" s="222"/>
      <c r="G2796" s="230"/>
    </row>
    <row r="2797" spans="2:7" x14ac:dyDescent="0.2">
      <c r="B2797" s="157"/>
      <c r="C2797" s="158"/>
      <c r="D2797" s="156"/>
      <c r="E2797" s="156"/>
      <c r="F2797" s="159" t="s">
        <v>459</v>
      </c>
      <c r="G2797" s="183">
        <v>1245.53</v>
      </c>
    </row>
    <row r="2798" spans="2:7" x14ac:dyDescent="0.2">
      <c r="B2798" s="157"/>
      <c r="C2798" s="158"/>
      <c r="D2798" s="156"/>
      <c r="E2798" s="156"/>
      <c r="F2798" s="159"/>
      <c r="G2798" s="160"/>
    </row>
    <row r="2799" spans="2:7" ht="17" thickBot="1" x14ac:dyDescent="0.25">
      <c r="B2799" s="206"/>
      <c r="C2799" s="207"/>
      <c r="D2799" s="208"/>
      <c r="E2799" s="209" t="s">
        <v>460</v>
      </c>
      <c r="F2799" s="210">
        <v>5199.58</v>
      </c>
      <c r="G2799" s="211">
        <v>41368</v>
      </c>
    </row>
    <row r="2800" spans="2:7" ht="17" thickTop="1" x14ac:dyDescent="0.2">
      <c r="B2800" s="212"/>
      <c r="C2800" s="213"/>
      <c r="D2800" s="212"/>
      <c r="E2800" s="212"/>
      <c r="F2800" s="212"/>
      <c r="G2800" s="212"/>
    </row>
    <row r="2801" spans="2:7" x14ac:dyDescent="0.2">
      <c r="B2801" s="212"/>
      <c r="C2801" s="213"/>
      <c r="D2801" s="212"/>
      <c r="E2801" s="212"/>
      <c r="F2801" s="212"/>
      <c r="G2801" s="212"/>
    </row>
    <row r="2802" spans="2:7" ht="17" thickBot="1" x14ac:dyDescent="0.25">
      <c r="B2802" s="212"/>
      <c r="C2802" s="213"/>
      <c r="D2802" s="212"/>
      <c r="E2802" s="212"/>
      <c r="F2802" s="212"/>
      <c r="G2802" s="212"/>
    </row>
    <row r="2803" spans="2:7" ht="17" thickTop="1" x14ac:dyDescent="0.2">
      <c r="B2803" s="537" t="s">
        <v>149</v>
      </c>
      <c r="C2803" s="538"/>
      <c r="D2803" s="538"/>
      <c r="E2803" s="538"/>
      <c r="F2803" s="148"/>
      <c r="G2803" s="149" t="s">
        <v>636</v>
      </c>
    </row>
    <row r="2804" spans="2:7" x14ac:dyDescent="0.2">
      <c r="B2804" s="539"/>
      <c r="C2804" s="540"/>
      <c r="D2804" s="540"/>
      <c r="E2804" s="540"/>
      <c r="F2804" s="150"/>
      <c r="G2804" s="151" t="s">
        <v>477</v>
      </c>
    </row>
    <row r="2805" spans="2:7" x14ac:dyDescent="0.2">
      <c r="B2805" s="152" t="s">
        <v>1</v>
      </c>
      <c r="C2805" s="153" t="s">
        <v>2</v>
      </c>
      <c r="D2805" s="153" t="s">
        <v>3</v>
      </c>
      <c r="E2805" s="153" t="s">
        <v>441</v>
      </c>
      <c r="F2805" s="154" t="s">
        <v>442</v>
      </c>
      <c r="G2805" s="155" t="s">
        <v>443</v>
      </c>
    </row>
    <row r="2806" spans="2:7" x14ac:dyDescent="0.2">
      <c r="B2806" s="157"/>
      <c r="C2806" s="158"/>
      <c r="D2806" s="156"/>
      <c r="E2806" s="156"/>
      <c r="F2806" s="159"/>
      <c r="G2806" s="160"/>
    </row>
    <row r="2807" spans="2:7" x14ac:dyDescent="0.2">
      <c r="B2807" s="161" t="s">
        <v>444</v>
      </c>
      <c r="C2807" s="158"/>
      <c r="D2807" s="156"/>
      <c r="E2807" s="156"/>
      <c r="F2807" s="159"/>
      <c r="G2807" s="160"/>
    </row>
    <row r="2808" spans="2:7" x14ac:dyDescent="0.2">
      <c r="B2808" s="236"/>
      <c r="C2808" s="185"/>
      <c r="D2808" s="181"/>
      <c r="E2808" s="186"/>
      <c r="F2808" s="222"/>
      <c r="G2808" s="237"/>
    </row>
    <row r="2809" spans="2:7" x14ac:dyDescent="0.2">
      <c r="B2809" s="157"/>
      <c r="C2809" s="158"/>
      <c r="D2809" s="156"/>
      <c r="E2809" s="156"/>
      <c r="F2809" s="159" t="s">
        <v>446</v>
      </c>
      <c r="G2809" s="183" t="s">
        <v>465</v>
      </c>
    </row>
    <row r="2810" spans="2:7" x14ac:dyDescent="0.2">
      <c r="B2810" s="379" t="s">
        <v>447</v>
      </c>
      <c r="C2810" s="158" t="s">
        <v>588</v>
      </c>
      <c r="D2810" s="158" t="s">
        <v>589</v>
      </c>
      <c r="E2810" s="158" t="s">
        <v>590</v>
      </c>
      <c r="F2810" s="380" t="s">
        <v>591</v>
      </c>
      <c r="G2810" s="381" t="s">
        <v>592</v>
      </c>
    </row>
    <row r="2811" spans="2:7" x14ac:dyDescent="0.2">
      <c r="B2811" s="471" t="s">
        <v>637</v>
      </c>
      <c r="C2811" s="462">
        <v>94469</v>
      </c>
      <c r="D2811" s="181">
        <v>1.47</v>
      </c>
      <c r="E2811" s="396">
        <v>138869</v>
      </c>
      <c r="F2811" s="397">
        <v>7.4999999999999997E-2</v>
      </c>
      <c r="G2811" s="463">
        <v>10415.18</v>
      </c>
    </row>
    <row r="2812" spans="2:7" x14ac:dyDescent="0.2">
      <c r="B2812" s="180"/>
      <c r="C2812" s="185"/>
      <c r="D2812" s="181"/>
      <c r="E2812" s="186"/>
      <c r="F2812" s="222"/>
      <c r="G2812" s="237"/>
    </row>
    <row r="2813" spans="2:7" x14ac:dyDescent="0.2">
      <c r="B2813" s="157"/>
      <c r="C2813" s="158"/>
      <c r="D2813" s="156"/>
      <c r="E2813" s="156"/>
      <c r="F2813" s="159" t="s">
        <v>449</v>
      </c>
      <c r="G2813" s="183">
        <v>10415.18</v>
      </c>
    </row>
    <row r="2814" spans="2:7" x14ac:dyDescent="0.2">
      <c r="B2814" s="161" t="s">
        <v>450</v>
      </c>
      <c r="C2814" s="158"/>
      <c r="D2814" s="156"/>
      <c r="E2814" s="156"/>
      <c r="F2814" s="159"/>
      <c r="G2814" s="160"/>
    </row>
    <row r="2815" spans="2:7" x14ac:dyDescent="0.2">
      <c r="B2815" s="218" t="s">
        <v>640</v>
      </c>
      <c r="C2815" s="219" t="s">
        <v>114</v>
      </c>
      <c r="D2815" s="229">
        <v>0.33333333300000001</v>
      </c>
      <c r="E2815" s="229">
        <v>5</v>
      </c>
      <c r="F2815" s="470">
        <v>179673.34</v>
      </c>
      <c r="G2815" s="221">
        <v>62885.66</v>
      </c>
    </row>
    <row r="2816" spans="2:7" x14ac:dyDescent="0.2">
      <c r="B2816" s="180"/>
      <c r="C2816" s="185"/>
      <c r="D2816" s="181"/>
      <c r="E2816" s="186"/>
      <c r="F2816" s="222"/>
      <c r="G2816" s="230"/>
    </row>
    <row r="2817" spans="2:7" x14ac:dyDescent="0.2">
      <c r="B2817" s="157"/>
      <c r="C2817" s="158"/>
      <c r="D2817" s="156"/>
      <c r="E2817" s="156"/>
      <c r="F2817" s="159" t="s">
        <v>452</v>
      </c>
      <c r="G2817" s="183">
        <v>62885.66</v>
      </c>
    </row>
    <row r="2818" spans="2:7" x14ac:dyDescent="0.2">
      <c r="B2818" s="161" t="s">
        <v>453</v>
      </c>
      <c r="C2818" s="158"/>
      <c r="D2818" s="156"/>
      <c r="E2818" s="156"/>
      <c r="F2818" s="159"/>
      <c r="G2818" s="160"/>
    </row>
    <row r="2819" spans="2:7" x14ac:dyDescent="0.2">
      <c r="B2819" s="218" t="s">
        <v>639</v>
      </c>
      <c r="C2819" s="219" t="s">
        <v>286</v>
      </c>
      <c r="D2819" s="229">
        <v>2.7777779999999998E-3</v>
      </c>
      <c r="E2819" s="229"/>
      <c r="F2819" s="470">
        <v>448392</v>
      </c>
      <c r="G2819" s="221">
        <v>1245.53</v>
      </c>
    </row>
    <row r="2820" spans="2:7" x14ac:dyDescent="0.2">
      <c r="B2820" s="180"/>
      <c r="C2820" s="185"/>
      <c r="D2820" s="181"/>
      <c r="E2820" s="186"/>
      <c r="F2820" s="222"/>
      <c r="G2820" s="230"/>
    </row>
    <row r="2821" spans="2:7" x14ac:dyDescent="0.2">
      <c r="B2821" s="157"/>
      <c r="C2821" s="158"/>
      <c r="D2821" s="156"/>
      <c r="E2821" s="156"/>
      <c r="F2821" s="159" t="s">
        <v>459</v>
      </c>
      <c r="G2821" s="183">
        <v>1245.53</v>
      </c>
    </row>
    <row r="2822" spans="2:7" x14ac:dyDescent="0.2">
      <c r="B2822" s="157"/>
      <c r="C2822" s="158"/>
      <c r="D2822" s="156"/>
      <c r="E2822" s="156"/>
      <c r="F2822" s="159"/>
      <c r="G2822" s="160"/>
    </row>
    <row r="2823" spans="2:7" ht="17" thickBot="1" x14ac:dyDescent="0.25">
      <c r="B2823" s="206"/>
      <c r="C2823" s="207"/>
      <c r="D2823" s="208"/>
      <c r="E2823" s="209" t="s">
        <v>460</v>
      </c>
      <c r="F2823" s="210">
        <v>5199.58</v>
      </c>
      <c r="G2823" s="211">
        <v>74546</v>
      </c>
    </row>
    <row r="2824" spans="2:7" ht="17" thickTop="1" x14ac:dyDescent="0.2">
      <c r="B2824" s="212"/>
      <c r="C2824" s="213"/>
      <c r="D2824" s="212"/>
      <c r="E2824" s="212"/>
      <c r="F2824" s="212"/>
      <c r="G2824" s="212"/>
    </row>
    <row r="2825" spans="2:7" x14ac:dyDescent="0.2">
      <c r="B2825" s="212"/>
      <c r="C2825" s="213"/>
      <c r="D2825" s="212"/>
      <c r="E2825" s="212"/>
      <c r="F2825" s="212"/>
      <c r="G2825" s="212"/>
    </row>
    <row r="2826" spans="2:7" ht="17" thickBot="1" x14ac:dyDescent="0.25">
      <c r="B2826" s="212"/>
      <c r="C2826" s="213"/>
      <c r="D2826" s="212"/>
      <c r="E2826" s="212"/>
      <c r="F2826" s="212"/>
      <c r="G2826" s="212"/>
    </row>
    <row r="2827" spans="2:7" ht="17" thickTop="1" x14ac:dyDescent="0.2">
      <c r="B2827" s="537" t="s">
        <v>150</v>
      </c>
      <c r="C2827" s="538"/>
      <c r="D2827" s="538"/>
      <c r="E2827" s="538"/>
      <c r="F2827" s="148"/>
      <c r="G2827" s="149" t="s">
        <v>636</v>
      </c>
    </row>
    <row r="2828" spans="2:7" x14ac:dyDescent="0.2">
      <c r="B2828" s="539"/>
      <c r="C2828" s="540"/>
      <c r="D2828" s="540"/>
      <c r="E2828" s="540"/>
      <c r="F2828" s="150"/>
      <c r="G2828" s="151" t="s">
        <v>477</v>
      </c>
    </row>
    <row r="2829" spans="2:7" x14ac:dyDescent="0.2">
      <c r="B2829" s="152" t="s">
        <v>1</v>
      </c>
      <c r="C2829" s="153" t="s">
        <v>2</v>
      </c>
      <c r="D2829" s="153" t="s">
        <v>3</v>
      </c>
      <c r="E2829" s="153" t="s">
        <v>441</v>
      </c>
      <c r="F2829" s="154" t="s">
        <v>442</v>
      </c>
      <c r="G2829" s="155" t="s">
        <v>443</v>
      </c>
    </row>
    <row r="2830" spans="2:7" x14ac:dyDescent="0.2">
      <c r="B2830" s="157"/>
      <c r="C2830" s="158"/>
      <c r="D2830" s="156"/>
      <c r="E2830" s="156"/>
      <c r="F2830" s="159"/>
      <c r="G2830" s="160"/>
    </row>
    <row r="2831" spans="2:7" x14ac:dyDescent="0.2">
      <c r="B2831" s="161" t="s">
        <v>444</v>
      </c>
      <c r="C2831" s="158"/>
      <c r="D2831" s="156"/>
      <c r="E2831" s="156"/>
      <c r="F2831" s="159"/>
      <c r="G2831" s="160"/>
    </row>
    <row r="2832" spans="2:7" x14ac:dyDescent="0.2">
      <c r="B2832" s="236"/>
      <c r="C2832" s="185"/>
      <c r="D2832" s="181"/>
      <c r="E2832" s="186"/>
      <c r="F2832" s="222"/>
      <c r="G2832" s="237"/>
    </row>
    <row r="2833" spans="2:7" x14ac:dyDescent="0.2">
      <c r="B2833" s="157"/>
      <c r="C2833" s="158"/>
      <c r="D2833" s="156"/>
      <c r="E2833" s="156"/>
      <c r="F2833" s="159" t="s">
        <v>446</v>
      </c>
      <c r="G2833" s="183" t="s">
        <v>465</v>
      </c>
    </row>
    <row r="2834" spans="2:7" x14ac:dyDescent="0.2">
      <c r="B2834" s="379" t="s">
        <v>447</v>
      </c>
      <c r="C2834" s="158" t="s">
        <v>588</v>
      </c>
      <c r="D2834" s="158" t="s">
        <v>589</v>
      </c>
      <c r="E2834" s="158" t="s">
        <v>590</v>
      </c>
      <c r="F2834" s="380" t="s">
        <v>591</v>
      </c>
      <c r="G2834" s="381" t="s">
        <v>592</v>
      </c>
    </row>
    <row r="2835" spans="2:7" x14ac:dyDescent="0.2">
      <c r="B2835" s="471" t="s">
        <v>637</v>
      </c>
      <c r="C2835" s="462">
        <v>94469</v>
      </c>
      <c r="D2835" s="181">
        <v>1.47</v>
      </c>
      <c r="E2835" s="396">
        <v>138869</v>
      </c>
      <c r="F2835" s="397">
        <v>8.7999999999999995E-2</v>
      </c>
      <c r="G2835" s="463">
        <v>12151.04</v>
      </c>
    </row>
    <row r="2836" spans="2:7" x14ac:dyDescent="0.2">
      <c r="B2836" s="180"/>
      <c r="C2836" s="185"/>
      <c r="D2836" s="181"/>
      <c r="E2836" s="186"/>
      <c r="F2836" s="222"/>
      <c r="G2836" s="237"/>
    </row>
    <row r="2837" spans="2:7" x14ac:dyDescent="0.2">
      <c r="B2837" s="157"/>
      <c r="C2837" s="158"/>
      <c r="D2837" s="156"/>
      <c r="E2837" s="156"/>
      <c r="F2837" s="159" t="s">
        <v>449</v>
      </c>
      <c r="G2837" s="183">
        <v>12151.04</v>
      </c>
    </row>
    <row r="2838" spans="2:7" x14ac:dyDescent="0.2">
      <c r="B2838" s="161" t="s">
        <v>450</v>
      </c>
      <c r="C2838" s="158"/>
      <c r="D2838" s="156"/>
      <c r="E2838" s="156"/>
      <c r="F2838" s="159"/>
      <c r="G2838" s="160"/>
    </row>
    <row r="2839" spans="2:7" x14ac:dyDescent="0.2">
      <c r="B2839" s="218" t="s">
        <v>640</v>
      </c>
      <c r="C2839" s="219" t="s">
        <v>114</v>
      </c>
      <c r="D2839" s="229">
        <v>0.5</v>
      </c>
      <c r="E2839" s="229">
        <v>5</v>
      </c>
      <c r="F2839" s="470">
        <v>179673.34</v>
      </c>
      <c r="G2839" s="221">
        <v>94328.5</v>
      </c>
    </row>
    <row r="2840" spans="2:7" x14ac:dyDescent="0.2">
      <c r="B2840" s="180"/>
      <c r="C2840" s="185"/>
      <c r="D2840" s="181"/>
      <c r="E2840" s="186"/>
      <c r="F2840" s="222"/>
      <c r="G2840" s="230"/>
    </row>
    <row r="2841" spans="2:7" x14ac:dyDescent="0.2">
      <c r="B2841" s="157"/>
      <c r="C2841" s="158"/>
      <c r="D2841" s="156"/>
      <c r="E2841" s="156"/>
      <c r="F2841" s="159" t="s">
        <v>452</v>
      </c>
      <c r="G2841" s="183">
        <v>94328.5</v>
      </c>
    </row>
    <row r="2842" spans="2:7" x14ac:dyDescent="0.2">
      <c r="B2842" s="161" t="s">
        <v>453</v>
      </c>
      <c r="C2842" s="158"/>
      <c r="D2842" s="156"/>
      <c r="E2842" s="156"/>
      <c r="F2842" s="159"/>
      <c r="G2842" s="160"/>
    </row>
    <row r="2843" spans="2:7" x14ac:dyDescent="0.2">
      <c r="B2843" s="218" t="s">
        <v>639</v>
      </c>
      <c r="C2843" s="219" t="s">
        <v>286</v>
      </c>
      <c r="D2843" s="229">
        <v>2.7777779999999998E-3</v>
      </c>
      <c r="E2843" s="229"/>
      <c r="F2843" s="470">
        <v>448392</v>
      </c>
      <c r="G2843" s="221">
        <v>1245.53</v>
      </c>
    </row>
    <row r="2844" spans="2:7" x14ac:dyDescent="0.2">
      <c r="B2844" s="180"/>
      <c r="C2844" s="185"/>
      <c r="D2844" s="181"/>
      <c r="E2844" s="186"/>
      <c r="F2844" s="222"/>
      <c r="G2844" s="230"/>
    </row>
    <row r="2845" spans="2:7" x14ac:dyDescent="0.2">
      <c r="B2845" s="157"/>
      <c r="C2845" s="158"/>
      <c r="D2845" s="156"/>
      <c r="E2845" s="156"/>
      <c r="F2845" s="159" t="s">
        <v>459</v>
      </c>
      <c r="G2845" s="183">
        <v>1245.53</v>
      </c>
    </row>
    <row r="2846" spans="2:7" x14ac:dyDescent="0.2">
      <c r="B2846" s="157"/>
      <c r="C2846" s="158"/>
      <c r="D2846" s="156"/>
      <c r="E2846" s="156"/>
      <c r="F2846" s="159"/>
      <c r="G2846" s="160"/>
    </row>
    <row r="2847" spans="2:7" ht="17" thickBot="1" x14ac:dyDescent="0.25">
      <c r="B2847" s="206"/>
      <c r="C2847" s="207"/>
      <c r="D2847" s="208"/>
      <c r="E2847" s="209" t="s">
        <v>460</v>
      </c>
      <c r="F2847" s="210">
        <v>120189.9</v>
      </c>
      <c r="G2847" s="211">
        <v>107725</v>
      </c>
    </row>
    <row r="2848" spans="2:7" ht="17" thickTop="1" x14ac:dyDescent="0.2">
      <c r="B2848" s="212"/>
      <c r="C2848" s="213"/>
      <c r="D2848" s="212"/>
      <c r="E2848" s="212"/>
      <c r="F2848" s="212"/>
      <c r="G2848" s="212"/>
    </row>
    <row r="2849" spans="2:7" x14ac:dyDescent="0.2">
      <c r="B2849" s="212"/>
      <c r="C2849" s="213"/>
      <c r="D2849" s="212"/>
      <c r="E2849" s="212"/>
      <c r="F2849" s="212"/>
      <c r="G2849" s="212"/>
    </row>
    <row r="2850" spans="2:7" ht="17" thickBot="1" x14ac:dyDescent="0.25">
      <c r="B2850" s="212"/>
      <c r="C2850" s="213"/>
      <c r="D2850" s="212"/>
      <c r="E2850" s="212"/>
      <c r="F2850" s="212"/>
      <c r="G2850" s="212"/>
    </row>
    <row r="2851" spans="2:7" ht="17" thickTop="1" x14ac:dyDescent="0.2">
      <c r="B2851" s="537" t="s">
        <v>151</v>
      </c>
      <c r="C2851" s="538"/>
      <c r="D2851" s="538"/>
      <c r="E2851" s="538"/>
      <c r="F2851" s="148"/>
      <c r="G2851" s="149" t="s">
        <v>636</v>
      </c>
    </row>
    <row r="2852" spans="2:7" x14ac:dyDescent="0.2">
      <c r="B2852" s="539"/>
      <c r="C2852" s="540"/>
      <c r="D2852" s="540"/>
      <c r="E2852" s="540"/>
      <c r="F2852" s="150"/>
      <c r="G2852" s="151" t="s">
        <v>477</v>
      </c>
    </row>
    <row r="2853" spans="2:7" x14ac:dyDescent="0.2">
      <c r="B2853" s="152" t="s">
        <v>1</v>
      </c>
      <c r="C2853" s="153" t="s">
        <v>2</v>
      </c>
      <c r="D2853" s="153" t="s">
        <v>3</v>
      </c>
      <c r="E2853" s="153" t="s">
        <v>441</v>
      </c>
      <c r="F2853" s="154" t="s">
        <v>442</v>
      </c>
      <c r="G2853" s="155" t="s">
        <v>443</v>
      </c>
    </row>
    <row r="2854" spans="2:7" x14ac:dyDescent="0.2">
      <c r="B2854" s="157"/>
      <c r="C2854" s="158"/>
      <c r="D2854" s="156"/>
      <c r="E2854" s="156"/>
      <c r="F2854" s="159"/>
      <c r="G2854" s="160"/>
    </row>
    <row r="2855" spans="2:7" x14ac:dyDescent="0.2">
      <c r="B2855" s="161" t="s">
        <v>444</v>
      </c>
      <c r="C2855" s="158"/>
      <c r="D2855" s="156"/>
      <c r="E2855" s="156"/>
      <c r="F2855" s="159"/>
      <c r="G2855" s="160"/>
    </row>
    <row r="2856" spans="2:7" x14ac:dyDescent="0.2">
      <c r="B2856" s="236"/>
      <c r="C2856" s="185"/>
      <c r="D2856" s="181"/>
      <c r="E2856" s="186"/>
      <c r="F2856" s="222"/>
      <c r="G2856" s="237"/>
    </row>
    <row r="2857" spans="2:7" x14ac:dyDescent="0.2">
      <c r="B2857" s="157"/>
      <c r="C2857" s="158"/>
      <c r="D2857" s="156"/>
      <c r="E2857" s="156"/>
      <c r="F2857" s="159" t="s">
        <v>446</v>
      </c>
      <c r="G2857" s="183" t="s">
        <v>465</v>
      </c>
    </row>
    <row r="2858" spans="2:7" x14ac:dyDescent="0.2">
      <c r="B2858" s="379" t="s">
        <v>447</v>
      </c>
      <c r="C2858" s="158" t="s">
        <v>588</v>
      </c>
      <c r="D2858" s="158" t="s">
        <v>589</v>
      </c>
      <c r="E2858" s="158" t="s">
        <v>590</v>
      </c>
      <c r="F2858" s="380" t="s">
        <v>591</v>
      </c>
      <c r="G2858" s="381" t="s">
        <v>592</v>
      </c>
    </row>
    <row r="2859" spans="2:7" x14ac:dyDescent="0.2">
      <c r="B2859" s="471" t="s">
        <v>637</v>
      </c>
      <c r="C2859" s="462">
        <v>94469</v>
      </c>
      <c r="D2859" s="181">
        <v>1.47</v>
      </c>
      <c r="E2859" s="396">
        <v>138869</v>
      </c>
      <c r="F2859" s="397">
        <v>0.1</v>
      </c>
      <c r="G2859" s="463">
        <v>13886.9</v>
      </c>
    </row>
    <row r="2860" spans="2:7" x14ac:dyDescent="0.2">
      <c r="B2860" s="180"/>
      <c r="C2860" s="185"/>
      <c r="D2860" s="181"/>
      <c r="E2860" s="186"/>
      <c r="F2860" s="222"/>
      <c r="G2860" s="237"/>
    </row>
    <row r="2861" spans="2:7" x14ac:dyDescent="0.2">
      <c r="B2861" s="157"/>
      <c r="C2861" s="158"/>
      <c r="D2861" s="156"/>
      <c r="E2861" s="156"/>
      <c r="F2861" s="159" t="s">
        <v>449</v>
      </c>
      <c r="G2861" s="183">
        <v>13886.9</v>
      </c>
    </row>
    <row r="2862" spans="2:7" x14ac:dyDescent="0.2">
      <c r="B2862" s="161" t="s">
        <v>450</v>
      </c>
      <c r="C2862" s="158"/>
      <c r="D2862" s="156"/>
      <c r="E2862" s="156"/>
      <c r="F2862" s="159"/>
      <c r="G2862" s="160"/>
    </row>
    <row r="2863" spans="2:7" x14ac:dyDescent="0.2">
      <c r="B2863" s="218" t="s">
        <v>640</v>
      </c>
      <c r="C2863" s="219" t="s">
        <v>114</v>
      </c>
      <c r="D2863" s="229">
        <v>0.66666666699999999</v>
      </c>
      <c r="E2863" s="229">
        <v>5</v>
      </c>
      <c r="F2863" s="470">
        <v>179673.34</v>
      </c>
      <c r="G2863" s="221">
        <v>125771.33</v>
      </c>
    </row>
    <row r="2864" spans="2:7" x14ac:dyDescent="0.2">
      <c r="B2864" s="180"/>
      <c r="C2864" s="185"/>
      <c r="D2864" s="181"/>
      <c r="E2864" s="186"/>
      <c r="F2864" s="222"/>
      <c r="G2864" s="230"/>
    </row>
    <row r="2865" spans="2:7" x14ac:dyDescent="0.2">
      <c r="B2865" s="157"/>
      <c r="C2865" s="158"/>
      <c r="D2865" s="156"/>
      <c r="E2865" s="156"/>
      <c r="F2865" s="159" t="s">
        <v>452</v>
      </c>
      <c r="G2865" s="183">
        <v>125771.33</v>
      </c>
    </row>
    <row r="2866" spans="2:7" x14ac:dyDescent="0.2">
      <c r="B2866" s="161" t="s">
        <v>453</v>
      </c>
      <c r="C2866" s="158"/>
      <c r="D2866" s="156"/>
      <c r="E2866" s="156"/>
      <c r="F2866" s="159"/>
      <c r="G2866" s="160"/>
    </row>
    <row r="2867" spans="2:7" x14ac:dyDescent="0.2">
      <c r="B2867" s="218" t="s">
        <v>639</v>
      </c>
      <c r="C2867" s="219" t="s">
        <v>286</v>
      </c>
      <c r="D2867" s="229">
        <v>2.7777779999999998E-3</v>
      </c>
      <c r="E2867" s="229"/>
      <c r="F2867" s="470">
        <v>448392</v>
      </c>
      <c r="G2867" s="221">
        <v>1245.53</v>
      </c>
    </row>
    <row r="2868" spans="2:7" x14ac:dyDescent="0.2">
      <c r="B2868" s="180"/>
      <c r="C2868" s="185"/>
      <c r="D2868" s="181"/>
      <c r="E2868" s="186"/>
      <c r="F2868" s="222"/>
      <c r="G2868" s="230"/>
    </row>
    <row r="2869" spans="2:7" x14ac:dyDescent="0.2">
      <c r="B2869" s="157"/>
      <c r="C2869" s="158"/>
      <c r="D2869" s="156"/>
      <c r="E2869" s="156"/>
      <c r="F2869" s="159" t="s">
        <v>459</v>
      </c>
      <c r="G2869" s="183">
        <v>1245.53</v>
      </c>
    </row>
    <row r="2870" spans="2:7" x14ac:dyDescent="0.2">
      <c r="B2870" s="157"/>
      <c r="C2870" s="158"/>
      <c r="D2870" s="156"/>
      <c r="E2870" s="156"/>
      <c r="F2870" s="159"/>
      <c r="G2870" s="160"/>
    </row>
    <row r="2871" spans="2:7" ht="17" thickBot="1" x14ac:dyDescent="0.25">
      <c r="B2871" s="206"/>
      <c r="C2871" s="207"/>
      <c r="D2871" s="208"/>
      <c r="E2871" s="209" t="s">
        <v>460</v>
      </c>
      <c r="F2871" s="210" t="e">
        <v>#REF!</v>
      </c>
      <c r="G2871" s="211">
        <v>140904</v>
      </c>
    </row>
    <row r="2872" spans="2:7" ht="17" thickTop="1" x14ac:dyDescent="0.2">
      <c r="B2872" s="212"/>
      <c r="C2872" s="213"/>
      <c r="D2872" s="212"/>
      <c r="E2872" s="212"/>
      <c r="F2872" s="212"/>
      <c r="G2872" s="212"/>
    </row>
    <row r="2873" spans="2:7" x14ac:dyDescent="0.2">
      <c r="B2873" s="212"/>
      <c r="C2873" s="213"/>
      <c r="D2873" s="212"/>
      <c r="E2873" s="212"/>
      <c r="F2873" s="212"/>
      <c r="G2873" s="212"/>
    </row>
    <row r="2874" spans="2:7" ht="17" thickBot="1" x14ac:dyDescent="0.25">
      <c r="B2874" s="212"/>
      <c r="C2874" s="213"/>
      <c r="D2874" s="212"/>
      <c r="E2874" s="212"/>
      <c r="F2874" s="212"/>
      <c r="G2874" s="212"/>
    </row>
    <row r="2875" spans="2:7" ht="17" thickTop="1" x14ac:dyDescent="0.2">
      <c r="B2875" s="537" t="s">
        <v>152</v>
      </c>
      <c r="C2875" s="538"/>
      <c r="D2875" s="538"/>
      <c r="E2875" s="538"/>
      <c r="F2875" s="148"/>
      <c r="G2875" s="149" t="s">
        <v>636</v>
      </c>
    </row>
    <row r="2876" spans="2:7" x14ac:dyDescent="0.2">
      <c r="B2876" s="539"/>
      <c r="C2876" s="540"/>
      <c r="D2876" s="540"/>
      <c r="E2876" s="540"/>
      <c r="F2876" s="150"/>
      <c r="G2876" s="151" t="s">
        <v>477</v>
      </c>
    </row>
    <row r="2877" spans="2:7" x14ac:dyDescent="0.2">
      <c r="B2877" s="152" t="s">
        <v>1</v>
      </c>
      <c r="C2877" s="153" t="s">
        <v>2</v>
      </c>
      <c r="D2877" s="153" t="s">
        <v>3</v>
      </c>
      <c r="E2877" s="153" t="s">
        <v>441</v>
      </c>
      <c r="F2877" s="154" t="s">
        <v>442</v>
      </c>
      <c r="G2877" s="155" t="s">
        <v>443</v>
      </c>
    </row>
    <row r="2878" spans="2:7" x14ac:dyDescent="0.2">
      <c r="B2878" s="157"/>
      <c r="C2878" s="158"/>
      <c r="D2878" s="156"/>
      <c r="E2878" s="156"/>
      <c r="F2878" s="159"/>
      <c r="G2878" s="160"/>
    </row>
    <row r="2879" spans="2:7" x14ac:dyDescent="0.2">
      <c r="B2879" s="161" t="s">
        <v>444</v>
      </c>
      <c r="C2879" s="158"/>
      <c r="D2879" s="156"/>
      <c r="E2879" s="156"/>
      <c r="F2879" s="159"/>
      <c r="G2879" s="160"/>
    </row>
    <row r="2880" spans="2:7" x14ac:dyDescent="0.2">
      <c r="B2880" s="236"/>
      <c r="C2880" s="185"/>
      <c r="D2880" s="181"/>
      <c r="E2880" s="186"/>
      <c r="F2880" s="222"/>
      <c r="G2880" s="237"/>
    </row>
    <row r="2881" spans="2:7" x14ac:dyDescent="0.2">
      <c r="B2881" s="157"/>
      <c r="C2881" s="158"/>
      <c r="D2881" s="156"/>
      <c r="E2881" s="156"/>
      <c r="F2881" s="159" t="s">
        <v>446</v>
      </c>
      <c r="G2881" s="183" t="s">
        <v>465</v>
      </c>
    </row>
    <row r="2882" spans="2:7" x14ac:dyDescent="0.2">
      <c r="B2882" s="379" t="s">
        <v>447</v>
      </c>
      <c r="C2882" s="158" t="s">
        <v>588</v>
      </c>
      <c r="D2882" s="158" t="s">
        <v>589</v>
      </c>
      <c r="E2882" s="158" t="s">
        <v>590</v>
      </c>
      <c r="F2882" s="380" t="s">
        <v>591</v>
      </c>
      <c r="G2882" s="381" t="s">
        <v>592</v>
      </c>
    </row>
    <row r="2883" spans="2:7" x14ac:dyDescent="0.2">
      <c r="B2883" s="471" t="s">
        <v>637</v>
      </c>
      <c r="C2883" s="462">
        <v>94469</v>
      </c>
      <c r="D2883" s="181">
        <v>1.47</v>
      </c>
      <c r="E2883" s="396">
        <v>138869</v>
      </c>
      <c r="F2883" s="397">
        <v>0.113</v>
      </c>
      <c r="G2883" s="463">
        <v>15622.76</v>
      </c>
    </row>
    <row r="2884" spans="2:7" x14ac:dyDescent="0.2">
      <c r="B2884" s="180"/>
      <c r="C2884" s="185"/>
      <c r="D2884" s="181"/>
      <c r="E2884" s="186"/>
      <c r="F2884" s="222"/>
      <c r="G2884" s="237"/>
    </row>
    <row r="2885" spans="2:7" x14ac:dyDescent="0.2">
      <c r="B2885" s="157"/>
      <c r="C2885" s="158"/>
      <c r="D2885" s="156"/>
      <c r="E2885" s="156"/>
      <c r="F2885" s="159" t="s">
        <v>449</v>
      </c>
      <c r="G2885" s="183">
        <v>15622.76</v>
      </c>
    </row>
    <row r="2886" spans="2:7" x14ac:dyDescent="0.2">
      <c r="B2886" s="161" t="s">
        <v>450</v>
      </c>
      <c r="C2886" s="158"/>
      <c r="D2886" s="156"/>
      <c r="E2886" s="156"/>
      <c r="F2886" s="159"/>
      <c r="G2886" s="160"/>
    </row>
    <row r="2887" spans="2:7" x14ac:dyDescent="0.2">
      <c r="B2887" s="218" t="s">
        <v>640</v>
      </c>
      <c r="C2887" s="219" t="s">
        <v>114</v>
      </c>
      <c r="D2887" s="229">
        <v>0.83333333300000001</v>
      </c>
      <c r="E2887" s="229">
        <v>5</v>
      </c>
      <c r="F2887" s="470">
        <v>179673.34</v>
      </c>
      <c r="G2887" s="221">
        <v>157214.17000000001</v>
      </c>
    </row>
    <row r="2888" spans="2:7" x14ac:dyDescent="0.2">
      <c r="B2888" s="180"/>
      <c r="C2888" s="185"/>
      <c r="D2888" s="181"/>
      <c r="E2888" s="186"/>
      <c r="F2888" s="222"/>
      <c r="G2888" s="230"/>
    </row>
    <row r="2889" spans="2:7" x14ac:dyDescent="0.2">
      <c r="B2889" s="157"/>
      <c r="C2889" s="158"/>
      <c r="D2889" s="156"/>
      <c r="E2889" s="156"/>
      <c r="F2889" s="159" t="s">
        <v>452</v>
      </c>
      <c r="G2889" s="183">
        <v>157214.17000000001</v>
      </c>
    </row>
    <row r="2890" spans="2:7" x14ac:dyDescent="0.2">
      <c r="B2890" s="161" t="s">
        <v>453</v>
      </c>
      <c r="C2890" s="158"/>
      <c r="D2890" s="156"/>
      <c r="E2890" s="156"/>
      <c r="F2890" s="159"/>
      <c r="G2890" s="160"/>
    </row>
    <row r="2891" spans="2:7" x14ac:dyDescent="0.2">
      <c r="B2891" s="218" t="s">
        <v>639</v>
      </c>
      <c r="C2891" s="219" t="s">
        <v>286</v>
      </c>
      <c r="D2891" s="229">
        <v>2.7777779999999998E-3</v>
      </c>
      <c r="E2891" s="229"/>
      <c r="F2891" s="470">
        <v>448392</v>
      </c>
      <c r="G2891" s="221">
        <v>1245.53</v>
      </c>
    </row>
    <row r="2892" spans="2:7" x14ac:dyDescent="0.2">
      <c r="B2892" s="180"/>
      <c r="C2892" s="185"/>
      <c r="D2892" s="181"/>
      <c r="E2892" s="186"/>
      <c r="F2892" s="222"/>
      <c r="G2892" s="230"/>
    </row>
    <row r="2893" spans="2:7" x14ac:dyDescent="0.2">
      <c r="B2893" s="157"/>
      <c r="C2893" s="158"/>
      <c r="D2893" s="156"/>
      <c r="E2893" s="156"/>
      <c r="F2893" s="159" t="s">
        <v>459</v>
      </c>
      <c r="G2893" s="183">
        <v>1245.53</v>
      </c>
    </row>
    <row r="2894" spans="2:7" x14ac:dyDescent="0.2">
      <c r="B2894" s="157"/>
      <c r="C2894" s="158"/>
      <c r="D2894" s="156"/>
      <c r="E2894" s="156"/>
      <c r="F2894" s="159"/>
      <c r="G2894" s="160"/>
    </row>
    <row r="2895" spans="2:7" ht="17" thickBot="1" x14ac:dyDescent="0.25">
      <c r="B2895" s="206"/>
      <c r="C2895" s="207"/>
      <c r="D2895" s="208"/>
      <c r="E2895" s="209" t="s">
        <v>460</v>
      </c>
      <c r="F2895" s="210">
        <v>9441.68</v>
      </c>
      <c r="G2895" s="211">
        <v>174082</v>
      </c>
    </row>
    <row r="2896" spans="2:7" ht="17" thickTop="1" x14ac:dyDescent="0.2">
      <c r="B2896" s="212"/>
      <c r="C2896" s="213"/>
      <c r="D2896" s="212"/>
      <c r="E2896" s="212"/>
      <c r="F2896" s="212"/>
      <c r="G2896" s="212"/>
    </row>
    <row r="2897" spans="2:7" x14ac:dyDescent="0.2">
      <c r="B2897" s="212"/>
      <c r="C2897" s="213"/>
      <c r="D2897" s="212"/>
      <c r="E2897" s="212"/>
      <c r="F2897" s="212"/>
      <c r="G2897" s="212"/>
    </row>
    <row r="2898" spans="2:7" ht="17" thickBot="1" x14ac:dyDescent="0.25">
      <c r="B2898" s="212"/>
      <c r="C2898" s="213"/>
      <c r="D2898" s="212"/>
      <c r="E2898" s="212"/>
      <c r="F2898" s="212"/>
      <c r="G2898" s="212"/>
    </row>
    <row r="2899" spans="2:7" ht="17" thickTop="1" x14ac:dyDescent="0.2">
      <c r="B2899" s="537" t="s">
        <v>153</v>
      </c>
      <c r="C2899" s="538"/>
      <c r="D2899" s="538"/>
      <c r="E2899" s="538"/>
      <c r="F2899" s="148"/>
      <c r="G2899" s="149" t="s">
        <v>636</v>
      </c>
    </row>
    <row r="2900" spans="2:7" x14ac:dyDescent="0.2">
      <c r="B2900" s="539"/>
      <c r="C2900" s="540"/>
      <c r="D2900" s="540"/>
      <c r="E2900" s="540"/>
      <c r="F2900" s="150"/>
      <c r="G2900" s="151" t="s">
        <v>477</v>
      </c>
    </row>
    <row r="2901" spans="2:7" x14ac:dyDescent="0.2">
      <c r="B2901" s="152" t="s">
        <v>1</v>
      </c>
      <c r="C2901" s="153" t="s">
        <v>2</v>
      </c>
      <c r="D2901" s="153" t="s">
        <v>3</v>
      </c>
      <c r="E2901" s="153" t="s">
        <v>441</v>
      </c>
      <c r="F2901" s="154" t="s">
        <v>442</v>
      </c>
      <c r="G2901" s="155" t="s">
        <v>443</v>
      </c>
    </row>
    <row r="2902" spans="2:7" x14ac:dyDescent="0.2">
      <c r="B2902" s="157"/>
      <c r="C2902" s="158"/>
      <c r="D2902" s="156"/>
      <c r="E2902" s="156"/>
      <c r="F2902" s="159"/>
      <c r="G2902" s="160"/>
    </row>
    <row r="2903" spans="2:7" x14ac:dyDescent="0.2">
      <c r="B2903" s="161" t="s">
        <v>444</v>
      </c>
      <c r="C2903" s="158"/>
      <c r="D2903" s="156"/>
      <c r="E2903" s="156"/>
      <c r="F2903" s="159"/>
      <c r="G2903" s="160"/>
    </row>
    <row r="2904" spans="2:7" x14ac:dyDescent="0.2">
      <c r="B2904" s="236"/>
      <c r="C2904" s="185"/>
      <c r="D2904" s="181"/>
      <c r="E2904" s="186"/>
      <c r="F2904" s="222"/>
      <c r="G2904" s="237"/>
    </row>
    <row r="2905" spans="2:7" x14ac:dyDescent="0.2">
      <c r="B2905" s="157"/>
      <c r="C2905" s="158"/>
      <c r="D2905" s="156"/>
      <c r="E2905" s="156"/>
      <c r="F2905" s="159" t="s">
        <v>446</v>
      </c>
      <c r="G2905" s="183" t="s">
        <v>465</v>
      </c>
    </row>
    <row r="2906" spans="2:7" x14ac:dyDescent="0.2">
      <c r="B2906" s="379" t="s">
        <v>447</v>
      </c>
      <c r="C2906" s="158" t="s">
        <v>588</v>
      </c>
      <c r="D2906" s="158" t="s">
        <v>589</v>
      </c>
      <c r="E2906" s="158" t="s">
        <v>590</v>
      </c>
      <c r="F2906" s="380" t="s">
        <v>591</v>
      </c>
      <c r="G2906" s="381" t="s">
        <v>592</v>
      </c>
    </row>
    <row r="2907" spans="2:7" x14ac:dyDescent="0.2">
      <c r="B2907" s="471" t="s">
        <v>637</v>
      </c>
      <c r="C2907" s="462">
        <v>94469</v>
      </c>
      <c r="D2907" s="181">
        <v>1.47</v>
      </c>
      <c r="E2907" s="396">
        <v>138869</v>
      </c>
      <c r="F2907" s="397">
        <v>0.125</v>
      </c>
      <c r="G2907" s="463">
        <v>17358.63</v>
      </c>
    </row>
    <row r="2908" spans="2:7" x14ac:dyDescent="0.2">
      <c r="B2908" s="180"/>
      <c r="C2908" s="185"/>
      <c r="D2908" s="181"/>
      <c r="E2908" s="186"/>
      <c r="F2908" s="222"/>
      <c r="G2908" s="237"/>
    </row>
    <row r="2909" spans="2:7" x14ac:dyDescent="0.2">
      <c r="B2909" s="157"/>
      <c r="C2909" s="158"/>
      <c r="D2909" s="156"/>
      <c r="E2909" s="156"/>
      <c r="F2909" s="159" t="s">
        <v>449</v>
      </c>
      <c r="G2909" s="183">
        <v>17358.63</v>
      </c>
    </row>
    <row r="2910" spans="2:7" x14ac:dyDescent="0.2">
      <c r="B2910" s="161" t="s">
        <v>450</v>
      </c>
      <c r="C2910" s="158"/>
      <c r="D2910" s="156"/>
      <c r="E2910" s="156"/>
      <c r="F2910" s="159"/>
      <c r="G2910" s="160"/>
    </row>
    <row r="2911" spans="2:7" x14ac:dyDescent="0.2">
      <c r="B2911" s="218" t="s">
        <v>640</v>
      </c>
      <c r="C2911" s="219" t="s">
        <v>114</v>
      </c>
      <c r="D2911" s="229">
        <v>1</v>
      </c>
      <c r="E2911" s="229">
        <v>5</v>
      </c>
      <c r="F2911" s="470">
        <v>179673.34</v>
      </c>
      <c r="G2911" s="221">
        <v>188657</v>
      </c>
    </row>
    <row r="2912" spans="2:7" x14ac:dyDescent="0.2">
      <c r="B2912" s="180"/>
      <c r="C2912" s="185"/>
      <c r="D2912" s="181"/>
      <c r="E2912" s="186"/>
      <c r="F2912" s="222"/>
      <c r="G2912" s="230"/>
    </row>
    <row r="2913" spans="2:7" x14ac:dyDescent="0.2">
      <c r="B2913" s="157"/>
      <c r="C2913" s="158"/>
      <c r="D2913" s="156"/>
      <c r="E2913" s="156"/>
      <c r="F2913" s="159" t="s">
        <v>452</v>
      </c>
      <c r="G2913" s="183">
        <v>188657</v>
      </c>
    </row>
    <row r="2914" spans="2:7" x14ac:dyDescent="0.2">
      <c r="B2914" s="161" t="s">
        <v>453</v>
      </c>
      <c r="C2914" s="158"/>
      <c r="D2914" s="156"/>
      <c r="E2914" s="156"/>
      <c r="F2914" s="159"/>
      <c r="G2914" s="160"/>
    </row>
    <row r="2915" spans="2:7" x14ac:dyDescent="0.2">
      <c r="B2915" s="218" t="s">
        <v>639</v>
      </c>
      <c r="C2915" s="219" t="s">
        <v>286</v>
      </c>
      <c r="D2915" s="229">
        <v>2.7777779999999998E-3</v>
      </c>
      <c r="E2915" s="229"/>
      <c r="F2915" s="470">
        <v>448392</v>
      </c>
      <c r="G2915" s="221">
        <v>1245.53</v>
      </c>
    </row>
    <row r="2916" spans="2:7" x14ac:dyDescent="0.2">
      <c r="B2916" s="180"/>
      <c r="C2916" s="185"/>
      <c r="D2916" s="181"/>
      <c r="E2916" s="186"/>
      <c r="F2916" s="222"/>
      <c r="G2916" s="230"/>
    </row>
    <row r="2917" spans="2:7" x14ac:dyDescent="0.2">
      <c r="B2917" s="157"/>
      <c r="C2917" s="158"/>
      <c r="D2917" s="156"/>
      <c r="E2917" s="156"/>
      <c r="F2917" s="159" t="s">
        <v>459</v>
      </c>
      <c r="G2917" s="183">
        <v>1245.53</v>
      </c>
    </row>
    <row r="2918" spans="2:7" x14ac:dyDescent="0.2">
      <c r="B2918" s="157"/>
      <c r="C2918" s="158"/>
      <c r="D2918" s="156"/>
      <c r="E2918" s="156"/>
      <c r="F2918" s="159"/>
      <c r="G2918" s="160"/>
    </row>
    <row r="2919" spans="2:7" ht="17" thickBot="1" x14ac:dyDescent="0.25">
      <c r="B2919" s="206"/>
      <c r="C2919" s="207"/>
      <c r="D2919" s="208"/>
      <c r="E2919" s="209" t="s">
        <v>460</v>
      </c>
      <c r="F2919" s="210">
        <v>143047.88</v>
      </c>
      <c r="G2919" s="211">
        <v>207261</v>
      </c>
    </row>
    <row r="2920" spans="2:7" ht="17" thickTop="1" x14ac:dyDescent="0.2">
      <c r="B2920" s="212"/>
      <c r="C2920" s="213"/>
      <c r="D2920" s="212"/>
      <c r="E2920" s="212"/>
      <c r="F2920" s="212"/>
      <c r="G2920" s="212"/>
    </row>
    <row r="2921" spans="2:7" x14ac:dyDescent="0.2">
      <c r="B2921" s="212"/>
      <c r="C2921" s="213"/>
      <c r="D2921" s="212"/>
      <c r="E2921" s="212"/>
      <c r="F2921" s="212"/>
      <c r="G2921" s="212"/>
    </row>
    <row r="2922" spans="2:7" ht="17" thickBot="1" x14ac:dyDescent="0.25">
      <c r="B2922" s="212"/>
      <c r="C2922" s="213"/>
      <c r="D2922" s="212"/>
      <c r="E2922" s="212"/>
      <c r="F2922" s="212"/>
      <c r="G2922" s="212"/>
    </row>
    <row r="2923" spans="2:7" ht="17" thickTop="1" x14ac:dyDescent="0.2">
      <c r="B2923" s="537" t="s">
        <v>156</v>
      </c>
      <c r="C2923" s="538"/>
      <c r="D2923" s="538"/>
      <c r="E2923" s="538"/>
      <c r="F2923" s="148"/>
      <c r="G2923" s="149" t="s">
        <v>641</v>
      </c>
    </row>
    <row r="2924" spans="2:7" x14ac:dyDescent="0.2">
      <c r="B2924" s="539"/>
      <c r="C2924" s="540"/>
      <c r="D2924" s="540"/>
      <c r="E2924" s="540"/>
      <c r="F2924" s="150"/>
      <c r="G2924" s="151" t="s">
        <v>477</v>
      </c>
    </row>
    <row r="2925" spans="2:7" x14ac:dyDescent="0.2">
      <c r="B2925" s="152" t="s">
        <v>1</v>
      </c>
      <c r="C2925" s="153" t="s">
        <v>2</v>
      </c>
      <c r="D2925" s="153" t="s">
        <v>3</v>
      </c>
      <c r="E2925" s="153" t="s">
        <v>441</v>
      </c>
      <c r="F2925" s="154" t="s">
        <v>442</v>
      </c>
      <c r="G2925" s="155" t="s">
        <v>443</v>
      </c>
    </row>
    <row r="2926" spans="2:7" x14ac:dyDescent="0.2">
      <c r="B2926" s="157"/>
      <c r="C2926" s="158"/>
      <c r="D2926" s="156"/>
      <c r="E2926" s="156"/>
      <c r="F2926" s="159"/>
      <c r="G2926" s="160"/>
    </row>
    <row r="2927" spans="2:7" x14ac:dyDescent="0.2">
      <c r="B2927" s="161" t="s">
        <v>444</v>
      </c>
      <c r="C2927" s="158"/>
      <c r="D2927" s="156"/>
      <c r="E2927" s="156"/>
      <c r="F2927" s="159"/>
      <c r="G2927" s="160"/>
    </row>
    <row r="2928" spans="2:7" x14ac:dyDescent="0.2">
      <c r="B2928" s="236"/>
      <c r="C2928" s="185"/>
      <c r="D2928" s="181"/>
      <c r="E2928" s="186"/>
      <c r="F2928" s="222"/>
      <c r="G2928" s="237"/>
    </row>
    <row r="2929" spans="2:7" x14ac:dyDescent="0.2">
      <c r="B2929" s="157"/>
      <c r="C2929" s="158"/>
      <c r="D2929" s="156"/>
      <c r="E2929" s="156"/>
      <c r="F2929" s="159" t="s">
        <v>446</v>
      </c>
      <c r="G2929" s="183" t="s">
        <v>465</v>
      </c>
    </row>
    <row r="2930" spans="2:7" x14ac:dyDescent="0.2">
      <c r="B2930" s="379" t="s">
        <v>447</v>
      </c>
      <c r="C2930" s="158" t="s">
        <v>588</v>
      </c>
      <c r="D2930" s="158" t="s">
        <v>589</v>
      </c>
      <c r="E2930" s="158" t="s">
        <v>590</v>
      </c>
      <c r="F2930" s="380" t="s">
        <v>591</v>
      </c>
      <c r="G2930" s="381" t="s">
        <v>592</v>
      </c>
    </row>
    <row r="2931" spans="2:7" x14ac:dyDescent="0.2">
      <c r="B2931" s="471" t="s">
        <v>525</v>
      </c>
      <c r="C2931" s="486">
        <v>272540</v>
      </c>
      <c r="D2931" s="181">
        <v>1.47</v>
      </c>
      <c r="E2931" s="396">
        <v>400633</v>
      </c>
      <c r="F2931" s="487">
        <v>0.3</v>
      </c>
      <c r="G2931" s="488">
        <v>120189.9</v>
      </c>
    </row>
    <row r="2932" spans="2:7" x14ac:dyDescent="0.2">
      <c r="B2932" s="180"/>
      <c r="C2932" s="185"/>
      <c r="D2932" s="181"/>
      <c r="E2932" s="186"/>
      <c r="F2932" s="222"/>
      <c r="G2932" s="230"/>
    </row>
    <row r="2933" spans="2:7" x14ac:dyDescent="0.2">
      <c r="B2933" s="157"/>
      <c r="C2933" s="158"/>
      <c r="D2933" s="156"/>
      <c r="E2933" s="156"/>
      <c r="F2933" s="159" t="s">
        <v>449</v>
      </c>
      <c r="G2933" s="183">
        <v>120189.9</v>
      </c>
    </row>
    <row r="2934" spans="2:7" x14ac:dyDescent="0.2">
      <c r="B2934" s="161" t="s">
        <v>450</v>
      </c>
      <c r="C2934" s="158"/>
      <c r="D2934" s="156"/>
      <c r="E2934" s="156"/>
      <c r="F2934" s="159"/>
      <c r="G2934" s="160"/>
    </row>
    <row r="2935" spans="2:7" x14ac:dyDescent="0.2">
      <c r="B2935" s="236"/>
      <c r="C2935" s="185"/>
      <c r="D2935" s="181"/>
      <c r="E2935" s="186"/>
      <c r="F2935" s="222"/>
      <c r="G2935" s="237"/>
    </row>
    <row r="2936" spans="2:7" x14ac:dyDescent="0.2">
      <c r="B2936" s="157"/>
      <c r="C2936" s="158"/>
      <c r="D2936" s="156"/>
      <c r="E2936" s="156"/>
      <c r="F2936" s="159" t="s">
        <v>452</v>
      </c>
      <c r="G2936" s="183" t="s">
        <v>465</v>
      </c>
    </row>
    <row r="2937" spans="2:7" x14ac:dyDescent="0.2">
      <c r="B2937" s="157"/>
      <c r="C2937" s="158"/>
      <c r="D2937" s="156"/>
      <c r="E2937" s="156"/>
      <c r="F2937" s="159"/>
      <c r="G2937" s="160"/>
    </row>
    <row r="2938" spans="2:7" ht="17" thickBot="1" x14ac:dyDescent="0.25">
      <c r="B2938" s="206"/>
      <c r="C2938" s="207"/>
      <c r="D2938" s="208"/>
      <c r="E2938" s="209" t="s">
        <v>460</v>
      </c>
      <c r="F2938" s="210">
        <v>1361.36</v>
      </c>
      <c r="G2938" s="211">
        <v>120190</v>
      </c>
    </row>
    <row r="2939" spans="2:7" ht="17" thickTop="1" x14ac:dyDescent="0.2">
      <c r="B2939" s="212"/>
      <c r="C2939" s="213"/>
      <c r="D2939" s="212"/>
      <c r="E2939" s="212"/>
      <c r="F2939" s="212"/>
      <c r="G2939" s="212"/>
    </row>
    <row r="2940" spans="2:7" x14ac:dyDescent="0.2">
      <c r="B2940" s="212"/>
      <c r="C2940" s="213"/>
      <c r="D2940" s="212"/>
      <c r="E2940" s="212"/>
      <c r="F2940" s="212"/>
      <c r="G2940" s="212"/>
    </row>
    <row r="2941" spans="2:7" ht="17" thickBot="1" x14ac:dyDescent="0.25">
      <c r="B2941" s="212"/>
      <c r="C2941" s="213"/>
      <c r="D2941" s="212"/>
      <c r="E2941" s="212"/>
      <c r="F2941" s="212"/>
      <c r="G2941" s="212"/>
    </row>
    <row r="2942" spans="2:7" ht="17" thickTop="1" x14ac:dyDescent="0.2">
      <c r="B2942" s="537" t="s">
        <v>157</v>
      </c>
      <c r="C2942" s="538"/>
      <c r="D2942" s="538"/>
      <c r="E2942" s="538"/>
      <c r="F2942" s="148"/>
      <c r="G2942" s="149" t="s">
        <v>641</v>
      </c>
    </row>
    <row r="2943" spans="2:7" x14ac:dyDescent="0.2">
      <c r="B2943" s="539"/>
      <c r="C2943" s="540"/>
      <c r="D2943" s="540"/>
      <c r="E2943" s="540"/>
      <c r="F2943" s="150"/>
      <c r="G2943" s="151" t="s">
        <v>477</v>
      </c>
    </row>
    <row r="2944" spans="2:7" x14ac:dyDescent="0.2">
      <c r="B2944" s="152" t="s">
        <v>1</v>
      </c>
      <c r="C2944" s="153" t="s">
        <v>2</v>
      </c>
      <c r="D2944" s="153" t="s">
        <v>3</v>
      </c>
      <c r="E2944" s="153" t="s">
        <v>441</v>
      </c>
      <c r="F2944" s="154" t="s">
        <v>442</v>
      </c>
      <c r="G2944" s="155" t="s">
        <v>443</v>
      </c>
    </row>
    <row r="2945" spans="2:7" x14ac:dyDescent="0.2">
      <c r="B2945" s="157"/>
      <c r="C2945" s="158"/>
      <c r="D2945" s="156"/>
      <c r="E2945" s="156"/>
      <c r="F2945" s="159"/>
      <c r="G2945" s="160"/>
    </row>
    <row r="2946" spans="2:7" x14ac:dyDescent="0.2">
      <c r="B2946" s="161" t="s">
        <v>444</v>
      </c>
      <c r="C2946" s="158"/>
      <c r="D2946" s="156"/>
      <c r="E2946" s="156"/>
      <c r="F2946" s="159"/>
      <c r="G2946" s="160"/>
    </row>
    <row r="2947" spans="2:7" x14ac:dyDescent="0.2">
      <c r="B2947" s="236"/>
      <c r="C2947" s="185"/>
      <c r="D2947" s="181"/>
      <c r="E2947" s="186"/>
      <c r="F2947" s="222"/>
      <c r="G2947" s="237"/>
    </row>
    <row r="2948" spans="2:7" x14ac:dyDescent="0.2">
      <c r="B2948" s="157"/>
      <c r="C2948" s="158"/>
      <c r="D2948" s="156"/>
      <c r="E2948" s="156"/>
      <c r="F2948" s="159" t="s">
        <v>446</v>
      </c>
      <c r="G2948" s="183" t="s">
        <v>465</v>
      </c>
    </row>
    <row r="2949" spans="2:7" x14ac:dyDescent="0.2">
      <c r="B2949" s="379" t="s">
        <v>447</v>
      </c>
      <c r="C2949" s="158" t="s">
        <v>588</v>
      </c>
      <c r="D2949" s="158" t="s">
        <v>589</v>
      </c>
      <c r="E2949" s="158" t="s">
        <v>590</v>
      </c>
      <c r="F2949" s="380" t="s">
        <v>591</v>
      </c>
      <c r="G2949" s="381" t="s">
        <v>592</v>
      </c>
    </row>
    <row r="2950" spans="2:7" x14ac:dyDescent="0.2">
      <c r="B2950" s="471" t="s">
        <v>525</v>
      </c>
      <c r="C2950" s="486">
        <v>272540</v>
      </c>
      <c r="D2950" s="181">
        <v>1.47</v>
      </c>
      <c r="E2950" s="396">
        <v>400633</v>
      </c>
      <c r="F2950" s="487">
        <v>0.5</v>
      </c>
      <c r="G2950" s="488">
        <v>200316.5</v>
      </c>
    </row>
    <row r="2951" spans="2:7" x14ac:dyDescent="0.2">
      <c r="B2951" s="180"/>
      <c r="C2951" s="185"/>
      <c r="D2951" s="181"/>
      <c r="E2951" s="186"/>
      <c r="F2951" s="222"/>
      <c r="G2951" s="230"/>
    </row>
    <row r="2952" spans="2:7" x14ac:dyDescent="0.2">
      <c r="B2952" s="157"/>
      <c r="C2952" s="158"/>
      <c r="D2952" s="156"/>
      <c r="E2952" s="156"/>
      <c r="F2952" s="159" t="s">
        <v>449</v>
      </c>
      <c r="G2952" s="183">
        <v>200316.5</v>
      </c>
    </row>
    <row r="2953" spans="2:7" x14ac:dyDescent="0.2">
      <c r="B2953" s="161" t="s">
        <v>450</v>
      </c>
      <c r="C2953" s="158"/>
      <c r="D2953" s="156"/>
      <c r="E2953" s="156"/>
      <c r="F2953" s="159"/>
      <c r="G2953" s="160"/>
    </row>
    <row r="2954" spans="2:7" x14ac:dyDescent="0.2">
      <c r="B2954" s="236"/>
      <c r="C2954" s="185"/>
      <c r="D2954" s="181"/>
      <c r="E2954" s="186"/>
      <c r="F2954" s="222"/>
      <c r="G2954" s="237"/>
    </row>
    <row r="2955" spans="2:7" x14ac:dyDescent="0.2">
      <c r="B2955" s="157"/>
      <c r="C2955" s="158"/>
      <c r="D2955" s="156"/>
      <c r="E2955" s="156"/>
      <c r="F2955" s="159" t="s">
        <v>452</v>
      </c>
      <c r="G2955" s="183" t="s">
        <v>465</v>
      </c>
    </row>
    <row r="2956" spans="2:7" x14ac:dyDescent="0.2">
      <c r="B2956" s="157"/>
      <c r="C2956" s="158"/>
      <c r="D2956" s="156"/>
      <c r="E2956" s="156"/>
      <c r="F2956" s="159"/>
      <c r="G2956" s="160"/>
    </row>
    <row r="2957" spans="2:7" ht="17" thickBot="1" x14ac:dyDescent="0.25">
      <c r="B2957" s="206"/>
      <c r="C2957" s="207"/>
      <c r="D2957" s="208"/>
      <c r="E2957" s="209" t="s">
        <v>460</v>
      </c>
      <c r="F2957" s="210" t="s">
        <v>461</v>
      </c>
      <c r="G2957" s="211">
        <v>200317</v>
      </c>
    </row>
    <row r="2958" spans="2:7" ht="17" thickTop="1" x14ac:dyDescent="0.2">
      <c r="B2958" s="212"/>
      <c r="C2958" s="213"/>
      <c r="D2958" s="212"/>
      <c r="E2958" s="212"/>
      <c r="F2958" s="212"/>
      <c r="G2958" s="212"/>
    </row>
    <row r="2959" spans="2:7" x14ac:dyDescent="0.2">
      <c r="B2959" s="212"/>
      <c r="C2959" s="213"/>
      <c r="D2959" s="212"/>
      <c r="E2959" s="212"/>
      <c r="F2959" s="212"/>
      <c r="G2959" s="212"/>
    </row>
    <row r="2960" spans="2:7" ht="17" thickBot="1" x14ac:dyDescent="0.25">
      <c r="B2960" s="212"/>
      <c r="C2960" s="213"/>
      <c r="D2960" s="212"/>
      <c r="E2960" s="212"/>
      <c r="F2960" s="212"/>
      <c r="G2960" s="212"/>
    </row>
    <row r="2961" spans="2:7" ht="17" thickTop="1" x14ac:dyDescent="0.2">
      <c r="B2961" s="537" t="s">
        <v>158</v>
      </c>
      <c r="C2961" s="538"/>
      <c r="D2961" s="538"/>
      <c r="E2961" s="538"/>
      <c r="F2961" s="148"/>
      <c r="G2961" s="149" t="s">
        <v>641</v>
      </c>
    </row>
    <row r="2962" spans="2:7" x14ac:dyDescent="0.2">
      <c r="B2962" s="539"/>
      <c r="C2962" s="540"/>
      <c r="D2962" s="540"/>
      <c r="E2962" s="540"/>
      <c r="F2962" s="150"/>
      <c r="G2962" s="151" t="s">
        <v>477</v>
      </c>
    </row>
    <row r="2963" spans="2:7" x14ac:dyDescent="0.2">
      <c r="B2963" s="152" t="s">
        <v>1</v>
      </c>
      <c r="C2963" s="153" t="s">
        <v>2</v>
      </c>
      <c r="D2963" s="153" t="s">
        <v>3</v>
      </c>
      <c r="E2963" s="153" t="s">
        <v>441</v>
      </c>
      <c r="F2963" s="154" t="s">
        <v>442</v>
      </c>
      <c r="G2963" s="155" t="s">
        <v>443</v>
      </c>
    </row>
    <row r="2964" spans="2:7" x14ac:dyDescent="0.2">
      <c r="B2964" s="157"/>
      <c r="C2964" s="158"/>
      <c r="D2964" s="156"/>
      <c r="E2964" s="156"/>
      <c r="F2964" s="159"/>
      <c r="G2964" s="160"/>
    </row>
    <row r="2965" spans="2:7" x14ac:dyDescent="0.2">
      <c r="B2965" s="161" t="s">
        <v>444</v>
      </c>
      <c r="C2965" s="158"/>
      <c r="D2965" s="156"/>
      <c r="E2965" s="156"/>
      <c r="F2965" s="159"/>
      <c r="G2965" s="160"/>
    </row>
    <row r="2966" spans="2:7" x14ac:dyDescent="0.2">
      <c r="B2966" s="236"/>
      <c r="C2966" s="185"/>
      <c r="D2966" s="181"/>
      <c r="E2966" s="186"/>
      <c r="F2966" s="222"/>
      <c r="G2966" s="237"/>
    </row>
    <row r="2967" spans="2:7" x14ac:dyDescent="0.2">
      <c r="B2967" s="157"/>
      <c r="C2967" s="158"/>
      <c r="D2967" s="156"/>
      <c r="E2967" s="156"/>
      <c r="F2967" s="159" t="s">
        <v>446</v>
      </c>
      <c r="G2967" s="183" t="s">
        <v>465</v>
      </c>
    </row>
    <row r="2968" spans="2:7" x14ac:dyDescent="0.2">
      <c r="B2968" s="379" t="s">
        <v>447</v>
      </c>
      <c r="C2968" s="158" t="s">
        <v>588</v>
      </c>
      <c r="D2968" s="158" t="s">
        <v>589</v>
      </c>
      <c r="E2968" s="158" t="s">
        <v>590</v>
      </c>
      <c r="F2968" s="380" t="s">
        <v>591</v>
      </c>
      <c r="G2968" s="381" t="s">
        <v>592</v>
      </c>
    </row>
    <row r="2969" spans="2:7" x14ac:dyDescent="0.2">
      <c r="B2969" s="471" t="s">
        <v>525</v>
      </c>
      <c r="C2969" s="486">
        <v>272540</v>
      </c>
      <c r="D2969" s="181">
        <v>1.47</v>
      </c>
      <c r="E2969" s="396">
        <v>400633</v>
      </c>
      <c r="F2969" s="487">
        <v>0.7</v>
      </c>
      <c r="G2969" s="488">
        <v>280443.09999999998</v>
      </c>
    </row>
    <row r="2970" spans="2:7" x14ac:dyDescent="0.2">
      <c r="B2970" s="180"/>
      <c r="C2970" s="185"/>
      <c r="D2970" s="181"/>
      <c r="E2970" s="186"/>
      <c r="F2970" s="222"/>
      <c r="G2970" s="230"/>
    </row>
    <row r="2971" spans="2:7" x14ac:dyDescent="0.2">
      <c r="B2971" s="157"/>
      <c r="C2971" s="158"/>
      <c r="D2971" s="156"/>
      <c r="E2971" s="156"/>
      <c r="F2971" s="159" t="s">
        <v>449</v>
      </c>
      <c r="G2971" s="183">
        <v>280443.09999999998</v>
      </c>
    </row>
    <row r="2972" spans="2:7" x14ac:dyDescent="0.2">
      <c r="B2972" s="161" t="s">
        <v>450</v>
      </c>
      <c r="C2972" s="158"/>
      <c r="D2972" s="156"/>
      <c r="E2972" s="156"/>
      <c r="F2972" s="159"/>
      <c r="G2972" s="160"/>
    </row>
    <row r="2973" spans="2:7" x14ac:dyDescent="0.2">
      <c r="B2973" s="236"/>
      <c r="C2973" s="185"/>
      <c r="D2973" s="181"/>
      <c r="E2973" s="186"/>
      <c r="F2973" s="222"/>
      <c r="G2973" s="237"/>
    </row>
    <row r="2974" spans="2:7" x14ac:dyDescent="0.2">
      <c r="B2974" s="157"/>
      <c r="C2974" s="158"/>
      <c r="D2974" s="156"/>
      <c r="E2974" s="156"/>
      <c r="F2974" s="159" t="s">
        <v>452</v>
      </c>
      <c r="G2974" s="183" t="s">
        <v>465</v>
      </c>
    </row>
    <row r="2975" spans="2:7" x14ac:dyDescent="0.2">
      <c r="B2975" s="157"/>
      <c r="C2975" s="158"/>
      <c r="D2975" s="156"/>
      <c r="E2975" s="156"/>
      <c r="F2975" s="159"/>
      <c r="G2975" s="160"/>
    </row>
    <row r="2976" spans="2:7" ht="17" thickBot="1" x14ac:dyDescent="0.25">
      <c r="B2976" s="206"/>
      <c r="C2976" s="207"/>
      <c r="D2976" s="208"/>
      <c r="E2976" s="209" t="s">
        <v>460</v>
      </c>
      <c r="F2976" s="210" t="s">
        <v>461</v>
      </c>
      <c r="G2976" s="211">
        <v>280443</v>
      </c>
    </row>
    <row r="2977" spans="2:7" ht="17" thickTop="1" x14ac:dyDescent="0.2">
      <c r="B2977" s="212"/>
      <c r="C2977" s="213"/>
      <c r="D2977" s="212"/>
      <c r="E2977" s="212"/>
      <c r="F2977" s="212"/>
      <c r="G2977" s="212"/>
    </row>
    <row r="2978" spans="2:7" x14ac:dyDescent="0.2">
      <c r="B2978" s="212"/>
      <c r="C2978" s="213"/>
      <c r="D2978" s="212"/>
      <c r="E2978" s="212"/>
      <c r="F2978" s="212"/>
      <c r="G2978" s="212"/>
    </row>
    <row r="2979" spans="2:7" ht="17" thickBot="1" x14ac:dyDescent="0.25">
      <c r="B2979" s="212"/>
      <c r="C2979" s="213"/>
      <c r="D2979" s="212"/>
      <c r="E2979" s="212"/>
      <c r="F2979" s="212"/>
      <c r="G2979" s="212"/>
    </row>
    <row r="2980" spans="2:7" ht="17" thickTop="1" x14ac:dyDescent="0.2">
      <c r="B2980" s="537" t="s">
        <v>159</v>
      </c>
      <c r="C2980" s="538"/>
      <c r="D2980" s="538"/>
      <c r="E2980" s="538"/>
      <c r="F2980" s="148"/>
      <c r="G2980" s="149" t="s">
        <v>641</v>
      </c>
    </row>
    <row r="2981" spans="2:7" x14ac:dyDescent="0.2">
      <c r="B2981" s="539"/>
      <c r="C2981" s="540"/>
      <c r="D2981" s="540"/>
      <c r="E2981" s="540"/>
      <c r="F2981" s="150"/>
      <c r="G2981" s="151" t="s">
        <v>477</v>
      </c>
    </row>
    <row r="2982" spans="2:7" x14ac:dyDescent="0.2">
      <c r="B2982" s="152" t="s">
        <v>1</v>
      </c>
      <c r="C2982" s="153" t="s">
        <v>2</v>
      </c>
      <c r="D2982" s="153" t="s">
        <v>3</v>
      </c>
      <c r="E2982" s="153" t="s">
        <v>441</v>
      </c>
      <c r="F2982" s="154" t="s">
        <v>442</v>
      </c>
      <c r="G2982" s="155" t="s">
        <v>443</v>
      </c>
    </row>
    <row r="2983" spans="2:7" x14ac:dyDescent="0.2">
      <c r="B2983" s="157"/>
      <c r="C2983" s="158"/>
      <c r="D2983" s="156"/>
      <c r="E2983" s="156"/>
      <c r="F2983" s="159"/>
      <c r="G2983" s="160"/>
    </row>
    <row r="2984" spans="2:7" x14ac:dyDescent="0.2">
      <c r="B2984" s="161" t="s">
        <v>444</v>
      </c>
      <c r="C2984" s="158"/>
      <c r="D2984" s="156"/>
      <c r="E2984" s="156"/>
      <c r="F2984" s="159"/>
      <c r="G2984" s="160"/>
    </row>
    <row r="2985" spans="2:7" x14ac:dyDescent="0.2">
      <c r="B2985" s="236"/>
      <c r="C2985" s="185"/>
      <c r="D2985" s="181"/>
      <c r="E2985" s="186"/>
      <c r="F2985" s="222"/>
      <c r="G2985" s="237"/>
    </row>
    <row r="2986" spans="2:7" x14ac:dyDescent="0.2">
      <c r="B2986" s="157"/>
      <c r="C2986" s="158"/>
      <c r="D2986" s="156"/>
      <c r="E2986" s="156"/>
      <c r="F2986" s="159" t="s">
        <v>446</v>
      </c>
      <c r="G2986" s="183" t="s">
        <v>465</v>
      </c>
    </row>
    <row r="2987" spans="2:7" x14ac:dyDescent="0.2">
      <c r="B2987" s="379" t="s">
        <v>447</v>
      </c>
      <c r="C2987" s="158" t="s">
        <v>588</v>
      </c>
      <c r="D2987" s="158" t="s">
        <v>589</v>
      </c>
      <c r="E2987" s="158" t="s">
        <v>590</v>
      </c>
      <c r="F2987" s="380" t="s">
        <v>591</v>
      </c>
      <c r="G2987" s="381" t="s">
        <v>592</v>
      </c>
    </row>
    <row r="2988" spans="2:7" x14ac:dyDescent="0.2">
      <c r="B2988" s="471" t="s">
        <v>525</v>
      </c>
      <c r="C2988" s="486">
        <v>272540</v>
      </c>
      <c r="D2988" s="181">
        <v>1.47</v>
      </c>
      <c r="E2988" s="396">
        <v>400633</v>
      </c>
      <c r="F2988" s="487">
        <v>1</v>
      </c>
      <c r="G2988" s="488">
        <v>400633</v>
      </c>
    </row>
    <row r="2989" spans="2:7" x14ac:dyDescent="0.2">
      <c r="B2989" s="180"/>
      <c r="C2989" s="185"/>
      <c r="D2989" s="181"/>
      <c r="E2989" s="186"/>
      <c r="F2989" s="222"/>
      <c r="G2989" s="230"/>
    </row>
    <row r="2990" spans="2:7" x14ac:dyDescent="0.2">
      <c r="B2990" s="157"/>
      <c r="C2990" s="158"/>
      <c r="D2990" s="156"/>
      <c r="E2990" s="156"/>
      <c r="F2990" s="159" t="s">
        <v>449</v>
      </c>
      <c r="G2990" s="183">
        <v>400633</v>
      </c>
    </row>
    <row r="2991" spans="2:7" x14ac:dyDescent="0.2">
      <c r="B2991" s="161" t="s">
        <v>450</v>
      </c>
      <c r="C2991" s="158"/>
      <c r="D2991" s="156"/>
      <c r="E2991" s="156"/>
      <c r="F2991" s="159"/>
      <c r="G2991" s="160"/>
    </row>
    <row r="2992" spans="2:7" x14ac:dyDescent="0.2">
      <c r="B2992" s="236"/>
      <c r="C2992" s="185"/>
      <c r="D2992" s="181"/>
      <c r="E2992" s="186"/>
      <c r="F2992" s="222"/>
      <c r="G2992" s="237"/>
    </row>
    <row r="2993" spans="2:7" x14ac:dyDescent="0.2">
      <c r="B2993" s="157"/>
      <c r="C2993" s="158"/>
      <c r="D2993" s="156"/>
      <c r="E2993" s="156"/>
      <c r="F2993" s="159" t="s">
        <v>452</v>
      </c>
      <c r="G2993" s="183" t="s">
        <v>465</v>
      </c>
    </row>
    <row r="2994" spans="2:7" x14ac:dyDescent="0.2">
      <c r="B2994" s="157"/>
      <c r="C2994" s="158"/>
      <c r="D2994" s="156"/>
      <c r="E2994" s="156"/>
      <c r="F2994" s="159"/>
      <c r="G2994" s="160"/>
    </row>
    <row r="2995" spans="2:7" ht="17" thickBot="1" x14ac:dyDescent="0.25">
      <c r="B2995" s="206"/>
      <c r="C2995" s="207"/>
      <c r="D2995" s="208"/>
      <c r="E2995" s="209" t="s">
        <v>460</v>
      </c>
      <c r="F2995" s="210" t="s">
        <v>461</v>
      </c>
      <c r="G2995" s="211">
        <v>400633</v>
      </c>
    </row>
    <row r="2996" spans="2:7" ht="17" thickTop="1" x14ac:dyDescent="0.2">
      <c r="B2996" s="212"/>
      <c r="C2996" s="213"/>
      <c r="D2996" s="212"/>
      <c r="E2996" s="212"/>
      <c r="F2996" s="212"/>
      <c r="G2996" s="212"/>
    </row>
    <row r="2997" spans="2:7" x14ac:dyDescent="0.2">
      <c r="B2997" s="212"/>
      <c r="C2997" s="213"/>
      <c r="D2997" s="212"/>
      <c r="E2997" s="212"/>
      <c r="F2997" s="212"/>
      <c r="G2997" s="212"/>
    </row>
    <row r="2998" spans="2:7" ht="17" thickBot="1" x14ac:dyDescent="0.25">
      <c r="B2998" s="212"/>
      <c r="C2998" s="213"/>
      <c r="D2998" s="212"/>
      <c r="E2998" s="212"/>
      <c r="F2998" s="212"/>
      <c r="G2998" s="212"/>
    </row>
    <row r="2999" spans="2:7" ht="17" thickTop="1" x14ac:dyDescent="0.2">
      <c r="B2999" s="537" t="s">
        <v>162</v>
      </c>
      <c r="C2999" s="538"/>
      <c r="D2999" s="538"/>
      <c r="E2999" s="538"/>
      <c r="F2999" s="148"/>
      <c r="G2999" s="149" t="s">
        <v>608</v>
      </c>
    </row>
    <row r="3000" spans="2:7" x14ac:dyDescent="0.2">
      <c r="B3000" s="539"/>
      <c r="C3000" s="540"/>
      <c r="D3000" s="540"/>
      <c r="E3000" s="540"/>
      <c r="F3000" s="150"/>
      <c r="G3000" s="151" t="s">
        <v>477</v>
      </c>
    </row>
    <row r="3001" spans="2:7" x14ac:dyDescent="0.2">
      <c r="B3001" s="152" t="s">
        <v>1</v>
      </c>
      <c r="C3001" s="153" t="s">
        <v>2</v>
      </c>
      <c r="D3001" s="153" t="s">
        <v>3</v>
      </c>
      <c r="E3001" s="153" t="s">
        <v>441</v>
      </c>
      <c r="F3001" s="154" t="s">
        <v>442</v>
      </c>
      <c r="G3001" s="155" t="s">
        <v>443</v>
      </c>
    </row>
    <row r="3002" spans="2:7" x14ac:dyDescent="0.2">
      <c r="B3002" s="157"/>
      <c r="C3002" s="158"/>
      <c r="D3002" s="156"/>
      <c r="E3002" s="156"/>
      <c r="F3002" s="159"/>
      <c r="G3002" s="160"/>
    </row>
    <row r="3003" spans="2:7" x14ac:dyDescent="0.2">
      <c r="B3003" s="161" t="s">
        <v>444</v>
      </c>
      <c r="C3003" s="158"/>
      <c r="D3003" s="156"/>
      <c r="E3003" s="156"/>
      <c r="F3003" s="159"/>
      <c r="G3003" s="160"/>
    </row>
    <row r="3004" spans="2:7" x14ac:dyDescent="0.2">
      <c r="B3004" s="236"/>
      <c r="C3004" s="185"/>
      <c r="D3004" s="181"/>
      <c r="E3004" s="186"/>
      <c r="F3004" s="222"/>
      <c r="G3004" s="237"/>
    </row>
    <row r="3005" spans="2:7" x14ac:dyDescent="0.2">
      <c r="B3005" s="157"/>
      <c r="C3005" s="158"/>
      <c r="D3005" s="156"/>
      <c r="E3005" s="156"/>
      <c r="F3005" s="159" t="s">
        <v>446</v>
      </c>
      <c r="G3005" s="183" t="s">
        <v>465</v>
      </c>
    </row>
    <row r="3006" spans="2:7" x14ac:dyDescent="0.2">
      <c r="B3006" s="379" t="s">
        <v>447</v>
      </c>
      <c r="C3006" s="158" t="s">
        <v>588</v>
      </c>
      <c r="D3006" s="158" t="s">
        <v>589</v>
      </c>
      <c r="E3006" s="158" t="s">
        <v>590</v>
      </c>
      <c r="F3006" s="380" t="s">
        <v>591</v>
      </c>
      <c r="G3006" s="381" t="s">
        <v>592</v>
      </c>
    </row>
    <row r="3007" spans="2:7" x14ac:dyDescent="0.2">
      <c r="B3007" s="471" t="s">
        <v>583</v>
      </c>
      <c r="C3007" s="486">
        <v>314474</v>
      </c>
      <c r="D3007" s="181">
        <v>1.47</v>
      </c>
      <c r="E3007" s="396">
        <v>462276</v>
      </c>
      <c r="F3007" s="487">
        <v>198</v>
      </c>
      <c r="G3007" s="489">
        <v>2335</v>
      </c>
    </row>
    <row r="3008" spans="2:7" x14ac:dyDescent="0.2">
      <c r="B3008" s="475" t="s">
        <v>524</v>
      </c>
      <c r="C3008" s="486">
        <v>107474</v>
      </c>
      <c r="D3008" s="415">
        <v>1.47</v>
      </c>
      <c r="E3008" s="464">
        <v>157986</v>
      </c>
      <c r="F3008" s="490">
        <v>198</v>
      </c>
      <c r="G3008" s="489">
        <v>798</v>
      </c>
    </row>
    <row r="3009" spans="2:7" x14ac:dyDescent="0.2">
      <c r="B3009" s="475" t="s">
        <v>525</v>
      </c>
      <c r="C3009" s="486">
        <v>272540</v>
      </c>
      <c r="D3009" s="415">
        <v>1.47</v>
      </c>
      <c r="E3009" s="363">
        <v>400633</v>
      </c>
      <c r="F3009" s="491">
        <v>99</v>
      </c>
      <c r="G3009" s="489">
        <v>4047</v>
      </c>
    </row>
    <row r="3010" spans="2:7" x14ac:dyDescent="0.2">
      <c r="B3010" s="180"/>
      <c r="C3010" s="185"/>
      <c r="D3010" s="181"/>
      <c r="E3010" s="170"/>
      <c r="F3010" s="222"/>
      <c r="G3010" s="237"/>
    </row>
    <row r="3011" spans="2:7" x14ac:dyDescent="0.2">
      <c r="B3011" s="157"/>
      <c r="C3011" s="158"/>
      <c r="D3011" s="156"/>
      <c r="E3011" s="156"/>
      <c r="F3011" s="159" t="s">
        <v>449</v>
      </c>
      <c r="G3011" s="183">
        <v>7179.43</v>
      </c>
    </row>
    <row r="3012" spans="2:7" x14ac:dyDescent="0.2">
      <c r="B3012" s="161" t="s">
        <v>450</v>
      </c>
      <c r="C3012" s="158"/>
      <c r="D3012" s="156"/>
      <c r="E3012" s="156"/>
      <c r="F3012" s="159"/>
      <c r="G3012" s="160"/>
    </row>
    <row r="3013" spans="2:7" x14ac:dyDescent="0.2">
      <c r="B3013" s="218" t="s">
        <v>551</v>
      </c>
      <c r="C3013" s="219" t="s">
        <v>2</v>
      </c>
      <c r="D3013" s="229"/>
      <c r="E3013" s="229"/>
      <c r="F3013" s="492">
        <v>1000</v>
      </c>
      <c r="G3013" s="221" t="s">
        <v>465</v>
      </c>
    </row>
    <row r="3014" spans="2:7" x14ac:dyDescent="0.2">
      <c r="B3014" s="152" t="s">
        <v>569</v>
      </c>
      <c r="C3014" s="219" t="s">
        <v>2</v>
      </c>
      <c r="D3014" s="229"/>
      <c r="E3014" s="229"/>
      <c r="F3014" s="492">
        <v>3700</v>
      </c>
      <c r="G3014" s="286" t="s">
        <v>465</v>
      </c>
    </row>
    <row r="3015" spans="2:7" x14ac:dyDescent="0.2">
      <c r="B3015" s="152" t="s">
        <v>552</v>
      </c>
      <c r="C3015" s="219" t="s">
        <v>2</v>
      </c>
      <c r="D3015" s="229"/>
      <c r="E3015" s="229"/>
      <c r="F3015" s="492">
        <v>1800</v>
      </c>
      <c r="G3015" s="286" t="s">
        <v>465</v>
      </c>
    </row>
    <row r="3016" spans="2:7" x14ac:dyDescent="0.2">
      <c r="B3016" s="180"/>
      <c r="C3016" s="185"/>
      <c r="D3016" s="181"/>
      <c r="E3016" s="186"/>
      <c r="F3016" s="222"/>
      <c r="G3016" s="230"/>
    </row>
    <row r="3017" spans="2:7" x14ac:dyDescent="0.2">
      <c r="B3017" s="157"/>
      <c r="C3017" s="158"/>
      <c r="D3017" s="156"/>
      <c r="E3017" s="156"/>
      <c r="F3017" s="159" t="s">
        <v>452</v>
      </c>
      <c r="G3017" s="183" t="s">
        <v>465</v>
      </c>
    </row>
    <row r="3018" spans="2:7" x14ac:dyDescent="0.2">
      <c r="B3018" s="161" t="s">
        <v>453</v>
      </c>
      <c r="C3018" s="158"/>
      <c r="D3018" s="156"/>
      <c r="E3018" s="156"/>
      <c r="F3018" s="159"/>
      <c r="G3018" s="160"/>
    </row>
    <row r="3019" spans="2:7" x14ac:dyDescent="0.2">
      <c r="B3019" s="218" t="s">
        <v>626</v>
      </c>
      <c r="C3019" s="219" t="s">
        <v>286</v>
      </c>
      <c r="D3019" s="229"/>
      <c r="E3019" s="229"/>
      <c r="F3019" s="470">
        <v>112200</v>
      </c>
      <c r="G3019" s="221" t="s">
        <v>465</v>
      </c>
    </row>
    <row r="3020" spans="2:7" x14ac:dyDescent="0.2">
      <c r="B3020" s="152" t="s">
        <v>642</v>
      </c>
      <c r="C3020" s="219" t="s">
        <v>286</v>
      </c>
      <c r="D3020" s="229"/>
      <c r="E3020" s="229"/>
      <c r="F3020" s="470">
        <v>17360</v>
      </c>
      <c r="G3020" s="286" t="s">
        <v>465</v>
      </c>
    </row>
    <row r="3021" spans="2:7" x14ac:dyDescent="0.2">
      <c r="B3021" s="180"/>
      <c r="C3021" s="185"/>
      <c r="D3021" s="181"/>
      <c r="E3021" s="186"/>
      <c r="F3021" s="222"/>
      <c r="G3021" s="230"/>
    </row>
    <row r="3022" spans="2:7" x14ac:dyDescent="0.2">
      <c r="B3022" s="157"/>
      <c r="C3022" s="158"/>
      <c r="D3022" s="156"/>
      <c r="E3022" s="156"/>
      <c r="F3022" s="159" t="s">
        <v>459</v>
      </c>
      <c r="G3022" s="183" t="s">
        <v>465</v>
      </c>
    </row>
    <row r="3023" spans="2:7" x14ac:dyDescent="0.2">
      <c r="B3023" s="157"/>
      <c r="C3023" s="158"/>
      <c r="D3023" s="156"/>
      <c r="E3023" s="156"/>
      <c r="F3023" s="159"/>
      <c r="G3023" s="160"/>
    </row>
    <row r="3024" spans="2:7" ht="17" thickBot="1" x14ac:dyDescent="0.25">
      <c r="B3024" s="206"/>
      <c r="C3024" s="207"/>
      <c r="D3024" s="208"/>
      <c r="E3024" s="209" t="s">
        <v>460</v>
      </c>
      <c r="F3024" s="210">
        <v>4538607.9800000004</v>
      </c>
      <c r="G3024" s="211">
        <v>7179</v>
      </c>
    </row>
    <row r="3025" spans="2:7" ht="17" thickTop="1" x14ac:dyDescent="0.2">
      <c r="B3025" s="212"/>
      <c r="C3025" s="213"/>
      <c r="D3025" s="212"/>
      <c r="E3025" s="212"/>
      <c r="F3025" s="212"/>
      <c r="G3025" s="212"/>
    </row>
    <row r="3026" spans="2:7" ht="17" thickBot="1" x14ac:dyDescent="0.25">
      <c r="B3026" s="212"/>
      <c r="C3026" s="213"/>
      <c r="D3026" s="212"/>
      <c r="E3026" s="212"/>
      <c r="F3026" s="212"/>
      <c r="G3026" s="212"/>
    </row>
    <row r="3027" spans="2:7" ht="17" thickTop="1" x14ac:dyDescent="0.2">
      <c r="B3027" s="537" t="s">
        <v>163</v>
      </c>
      <c r="C3027" s="538"/>
      <c r="D3027" s="538"/>
      <c r="E3027" s="538"/>
      <c r="F3027" s="148"/>
      <c r="G3027" s="149" t="s">
        <v>608</v>
      </c>
    </row>
    <row r="3028" spans="2:7" x14ac:dyDescent="0.2">
      <c r="B3028" s="539"/>
      <c r="C3028" s="540"/>
      <c r="D3028" s="540"/>
      <c r="E3028" s="540"/>
      <c r="F3028" s="150"/>
      <c r="G3028" s="151" t="s">
        <v>477</v>
      </c>
    </row>
    <row r="3029" spans="2:7" x14ac:dyDescent="0.2">
      <c r="B3029" s="152" t="s">
        <v>1</v>
      </c>
      <c r="C3029" s="153" t="s">
        <v>2</v>
      </c>
      <c r="D3029" s="153" t="s">
        <v>3</v>
      </c>
      <c r="E3029" s="153" t="s">
        <v>441</v>
      </c>
      <c r="F3029" s="154" t="s">
        <v>442</v>
      </c>
      <c r="G3029" s="155" t="s">
        <v>443</v>
      </c>
    </row>
    <row r="3030" spans="2:7" x14ac:dyDescent="0.2">
      <c r="B3030" s="157"/>
      <c r="C3030" s="158"/>
      <c r="D3030" s="156"/>
      <c r="E3030" s="156"/>
      <c r="F3030" s="159"/>
      <c r="G3030" s="160"/>
    </row>
    <row r="3031" spans="2:7" x14ac:dyDescent="0.2">
      <c r="B3031" s="161" t="s">
        <v>444</v>
      </c>
      <c r="C3031" s="158"/>
      <c r="D3031" s="156"/>
      <c r="E3031" s="156"/>
      <c r="F3031" s="159"/>
      <c r="G3031" s="160"/>
    </row>
    <row r="3032" spans="2:7" x14ac:dyDescent="0.2">
      <c r="B3032" s="236"/>
      <c r="C3032" s="185"/>
      <c r="D3032" s="181"/>
      <c r="E3032" s="186"/>
      <c r="F3032" s="222"/>
      <c r="G3032" s="237"/>
    </row>
    <row r="3033" spans="2:7" x14ac:dyDescent="0.2">
      <c r="B3033" s="157"/>
      <c r="C3033" s="158"/>
      <c r="D3033" s="156"/>
      <c r="E3033" s="156"/>
      <c r="F3033" s="159" t="s">
        <v>446</v>
      </c>
      <c r="G3033" s="183" t="s">
        <v>465</v>
      </c>
    </row>
    <row r="3034" spans="2:7" x14ac:dyDescent="0.2">
      <c r="B3034" s="379" t="s">
        <v>447</v>
      </c>
      <c r="C3034" s="158" t="s">
        <v>588</v>
      </c>
      <c r="D3034" s="158" t="s">
        <v>589</v>
      </c>
      <c r="E3034" s="158" t="s">
        <v>590</v>
      </c>
      <c r="F3034" s="380" t="s">
        <v>591</v>
      </c>
      <c r="G3034" s="381" t="s">
        <v>592</v>
      </c>
    </row>
    <row r="3035" spans="2:7" x14ac:dyDescent="0.2">
      <c r="B3035" s="471" t="s">
        <v>523</v>
      </c>
      <c r="C3035" s="486">
        <v>401056</v>
      </c>
      <c r="D3035" s="181">
        <v>1.47</v>
      </c>
      <c r="E3035" s="396">
        <v>589552</v>
      </c>
      <c r="F3035" s="487">
        <v>264</v>
      </c>
      <c r="G3035" s="489">
        <v>2233</v>
      </c>
    </row>
    <row r="3036" spans="2:7" x14ac:dyDescent="0.2">
      <c r="B3036" s="475" t="s">
        <v>524</v>
      </c>
      <c r="C3036" s="486">
        <v>107474</v>
      </c>
      <c r="D3036" s="415">
        <v>1.47</v>
      </c>
      <c r="E3036" s="464">
        <v>157986</v>
      </c>
      <c r="F3036" s="490">
        <v>264</v>
      </c>
      <c r="G3036" s="489">
        <v>598</v>
      </c>
    </row>
    <row r="3037" spans="2:7" x14ac:dyDescent="0.2">
      <c r="B3037" s="475" t="s">
        <v>525</v>
      </c>
      <c r="C3037" s="486">
        <v>272540</v>
      </c>
      <c r="D3037" s="415">
        <v>1.47</v>
      </c>
      <c r="E3037" s="363">
        <v>400633</v>
      </c>
      <c r="F3037" s="491">
        <v>132</v>
      </c>
      <c r="G3037" s="489">
        <v>3035</v>
      </c>
    </row>
    <row r="3038" spans="2:7" x14ac:dyDescent="0.2">
      <c r="B3038" s="180"/>
      <c r="C3038" s="185"/>
      <c r="D3038" s="181"/>
      <c r="E3038" s="170"/>
      <c r="F3038" s="222"/>
      <c r="G3038" s="237"/>
    </row>
    <row r="3039" spans="2:7" x14ac:dyDescent="0.2">
      <c r="B3039" s="157"/>
      <c r="C3039" s="158"/>
      <c r="D3039" s="156"/>
      <c r="E3039" s="156"/>
      <c r="F3039" s="159" t="s">
        <v>449</v>
      </c>
      <c r="G3039" s="183">
        <v>5866.68</v>
      </c>
    </row>
    <row r="3040" spans="2:7" x14ac:dyDescent="0.2">
      <c r="B3040" s="161" t="s">
        <v>450</v>
      </c>
      <c r="C3040" s="158"/>
      <c r="D3040" s="156"/>
      <c r="E3040" s="156"/>
      <c r="F3040" s="159"/>
      <c r="G3040" s="160"/>
    </row>
    <row r="3041" spans="2:7" x14ac:dyDescent="0.2">
      <c r="B3041" s="218" t="s">
        <v>551</v>
      </c>
      <c r="C3041" s="219" t="s">
        <v>2</v>
      </c>
      <c r="D3041" s="229"/>
      <c r="E3041" s="229"/>
      <c r="F3041" s="492">
        <v>1000</v>
      </c>
      <c r="G3041" s="221" t="s">
        <v>465</v>
      </c>
    </row>
    <row r="3042" spans="2:7" x14ac:dyDescent="0.2">
      <c r="B3042" s="152" t="s">
        <v>569</v>
      </c>
      <c r="C3042" s="219" t="s">
        <v>2</v>
      </c>
      <c r="D3042" s="229"/>
      <c r="E3042" s="229"/>
      <c r="F3042" s="492">
        <v>3700</v>
      </c>
      <c r="G3042" s="286" t="s">
        <v>465</v>
      </c>
    </row>
    <row r="3043" spans="2:7" x14ac:dyDescent="0.2">
      <c r="B3043" s="152" t="s">
        <v>552</v>
      </c>
      <c r="C3043" s="219" t="s">
        <v>2</v>
      </c>
      <c r="D3043" s="229"/>
      <c r="E3043" s="229"/>
      <c r="F3043" s="492">
        <v>1800</v>
      </c>
      <c r="G3043" s="286" t="s">
        <v>465</v>
      </c>
    </row>
    <row r="3044" spans="2:7" x14ac:dyDescent="0.2">
      <c r="B3044" s="180"/>
      <c r="C3044" s="185"/>
      <c r="D3044" s="181"/>
      <c r="E3044" s="186"/>
      <c r="F3044" s="222"/>
      <c r="G3044" s="230"/>
    </row>
    <row r="3045" spans="2:7" x14ac:dyDescent="0.2">
      <c r="B3045" s="157"/>
      <c r="C3045" s="158"/>
      <c r="D3045" s="156"/>
      <c r="E3045" s="156"/>
      <c r="F3045" s="159" t="s">
        <v>452</v>
      </c>
      <c r="G3045" s="183" t="s">
        <v>465</v>
      </c>
    </row>
    <row r="3046" spans="2:7" x14ac:dyDescent="0.2">
      <c r="B3046" s="161" t="s">
        <v>453</v>
      </c>
      <c r="C3046" s="158"/>
      <c r="D3046" s="156"/>
      <c r="E3046" s="156"/>
      <c r="F3046" s="159"/>
      <c r="G3046" s="160"/>
    </row>
    <row r="3047" spans="2:7" x14ac:dyDescent="0.2">
      <c r="B3047" s="218" t="s">
        <v>626</v>
      </c>
      <c r="C3047" s="219" t="s">
        <v>286</v>
      </c>
      <c r="D3047" s="229"/>
      <c r="E3047" s="229"/>
      <c r="F3047" s="470">
        <v>112200</v>
      </c>
      <c r="G3047" s="221" t="s">
        <v>465</v>
      </c>
    </row>
    <row r="3048" spans="2:7" x14ac:dyDescent="0.2">
      <c r="B3048" s="152" t="s">
        <v>642</v>
      </c>
      <c r="C3048" s="219" t="s">
        <v>286</v>
      </c>
      <c r="D3048" s="229"/>
      <c r="E3048" s="229"/>
      <c r="F3048" s="470">
        <v>17360</v>
      </c>
      <c r="G3048" s="286" t="s">
        <v>465</v>
      </c>
    </row>
    <row r="3049" spans="2:7" x14ac:dyDescent="0.2">
      <c r="B3049" s="180"/>
      <c r="C3049" s="185"/>
      <c r="D3049" s="181"/>
      <c r="E3049" s="186"/>
      <c r="F3049" s="222"/>
      <c r="G3049" s="230"/>
    </row>
    <row r="3050" spans="2:7" x14ac:dyDescent="0.2">
      <c r="B3050" s="157"/>
      <c r="C3050" s="158"/>
      <c r="D3050" s="156"/>
      <c r="E3050" s="156"/>
      <c r="F3050" s="159" t="s">
        <v>459</v>
      </c>
      <c r="G3050" s="183" t="s">
        <v>465</v>
      </c>
    </row>
    <row r="3051" spans="2:7" x14ac:dyDescent="0.2">
      <c r="B3051" s="157"/>
      <c r="C3051" s="158"/>
      <c r="D3051" s="156"/>
      <c r="E3051" s="156"/>
      <c r="F3051" s="159"/>
      <c r="G3051" s="160"/>
    </row>
    <row r="3052" spans="2:7" ht="17" thickBot="1" x14ac:dyDescent="0.25">
      <c r="B3052" s="206"/>
      <c r="C3052" s="207"/>
      <c r="D3052" s="208"/>
      <c r="E3052" s="209" t="s">
        <v>460</v>
      </c>
      <c r="F3052" s="210">
        <v>4455860.4800000004</v>
      </c>
      <c r="G3052" s="211">
        <v>5867</v>
      </c>
    </row>
    <row r="3053" spans="2:7" ht="17" thickTop="1" x14ac:dyDescent="0.2">
      <c r="B3053" s="212"/>
      <c r="C3053" s="213"/>
      <c r="D3053" s="212"/>
      <c r="E3053" s="212"/>
      <c r="F3053" s="212"/>
      <c r="G3053" s="212"/>
    </row>
    <row r="3054" spans="2:7" ht="17" thickBot="1" x14ac:dyDescent="0.25">
      <c r="B3054" s="212"/>
      <c r="C3054" s="213"/>
      <c r="D3054" s="212"/>
      <c r="E3054" s="212"/>
      <c r="F3054" s="212"/>
      <c r="G3054" s="212"/>
    </row>
    <row r="3055" spans="2:7" ht="17" thickTop="1" x14ac:dyDescent="0.2">
      <c r="B3055" s="537" t="s">
        <v>164</v>
      </c>
      <c r="C3055" s="538"/>
      <c r="D3055" s="538"/>
      <c r="E3055" s="538"/>
      <c r="F3055" s="148"/>
      <c r="G3055" s="149" t="s">
        <v>608</v>
      </c>
    </row>
    <row r="3056" spans="2:7" x14ac:dyDescent="0.2">
      <c r="B3056" s="539"/>
      <c r="C3056" s="540"/>
      <c r="D3056" s="540"/>
      <c r="E3056" s="540"/>
      <c r="F3056" s="150"/>
      <c r="G3056" s="151" t="s">
        <v>477</v>
      </c>
    </row>
    <row r="3057" spans="2:7" x14ac:dyDescent="0.2">
      <c r="B3057" s="152" t="s">
        <v>1</v>
      </c>
      <c r="C3057" s="153" t="s">
        <v>2</v>
      </c>
      <c r="D3057" s="153" t="s">
        <v>3</v>
      </c>
      <c r="E3057" s="153" t="s">
        <v>441</v>
      </c>
      <c r="F3057" s="154" t="s">
        <v>442</v>
      </c>
      <c r="G3057" s="155" t="s">
        <v>443</v>
      </c>
    </row>
    <row r="3058" spans="2:7" x14ac:dyDescent="0.2">
      <c r="B3058" s="157"/>
      <c r="C3058" s="158"/>
      <c r="D3058" s="156"/>
      <c r="E3058" s="156"/>
      <c r="F3058" s="159"/>
      <c r="G3058" s="160"/>
    </row>
    <row r="3059" spans="2:7" x14ac:dyDescent="0.2">
      <c r="B3059" s="161" t="s">
        <v>444</v>
      </c>
      <c r="C3059" s="158"/>
      <c r="D3059" s="156"/>
      <c r="E3059" s="156"/>
      <c r="F3059" s="159"/>
      <c r="G3059" s="160"/>
    </row>
    <row r="3060" spans="2:7" x14ac:dyDescent="0.2">
      <c r="B3060" s="236"/>
      <c r="C3060" s="185"/>
      <c r="D3060" s="181"/>
      <c r="E3060" s="186"/>
      <c r="F3060" s="222"/>
      <c r="G3060" s="237"/>
    </row>
    <row r="3061" spans="2:7" x14ac:dyDescent="0.2">
      <c r="B3061" s="157"/>
      <c r="C3061" s="158"/>
      <c r="D3061" s="156"/>
      <c r="E3061" s="156"/>
      <c r="F3061" s="159" t="s">
        <v>446</v>
      </c>
      <c r="G3061" s="183" t="s">
        <v>465</v>
      </c>
    </row>
    <row r="3062" spans="2:7" x14ac:dyDescent="0.2">
      <c r="B3062" s="379" t="s">
        <v>447</v>
      </c>
      <c r="C3062" s="158" t="s">
        <v>588</v>
      </c>
      <c r="D3062" s="158" t="s">
        <v>589</v>
      </c>
      <c r="E3062" s="158" t="s">
        <v>590</v>
      </c>
      <c r="F3062" s="380" t="s">
        <v>591</v>
      </c>
      <c r="G3062" s="381" t="s">
        <v>592</v>
      </c>
    </row>
    <row r="3063" spans="2:7" x14ac:dyDescent="0.2">
      <c r="B3063" s="471" t="s">
        <v>643</v>
      </c>
      <c r="C3063" s="486">
        <v>496859</v>
      </c>
      <c r="D3063" s="181">
        <v>1.47</v>
      </c>
      <c r="E3063" s="396">
        <v>730381</v>
      </c>
      <c r="F3063" s="154">
        <v>330</v>
      </c>
      <c r="G3063" s="489">
        <v>2213</v>
      </c>
    </row>
    <row r="3064" spans="2:7" x14ac:dyDescent="0.2">
      <c r="B3064" s="475" t="s">
        <v>524</v>
      </c>
      <c r="C3064" s="486">
        <v>107474</v>
      </c>
      <c r="D3064" s="415">
        <v>1.47</v>
      </c>
      <c r="E3064" s="464">
        <v>157986</v>
      </c>
      <c r="F3064" s="491">
        <v>330</v>
      </c>
      <c r="G3064" s="489">
        <v>479</v>
      </c>
    </row>
    <row r="3065" spans="2:7" x14ac:dyDescent="0.2">
      <c r="B3065" s="475" t="s">
        <v>525</v>
      </c>
      <c r="C3065" s="486">
        <v>272540</v>
      </c>
      <c r="D3065" s="415">
        <v>1.47</v>
      </c>
      <c r="E3065" s="363">
        <v>400633</v>
      </c>
      <c r="F3065" s="491">
        <v>165</v>
      </c>
      <c r="G3065" s="489">
        <v>2428</v>
      </c>
    </row>
    <row r="3066" spans="2:7" x14ac:dyDescent="0.2">
      <c r="B3066" s="180"/>
      <c r="C3066" s="185"/>
      <c r="D3066" s="181"/>
      <c r="E3066" s="170"/>
      <c r="F3066" s="222"/>
      <c r="G3066" s="237"/>
    </row>
    <row r="3067" spans="2:7" x14ac:dyDescent="0.2">
      <c r="B3067" s="157"/>
      <c r="C3067" s="158"/>
      <c r="D3067" s="156"/>
      <c r="E3067" s="156"/>
      <c r="F3067" s="159" t="s">
        <v>449</v>
      </c>
      <c r="G3067" s="183">
        <v>5120.1000000000004</v>
      </c>
    </row>
    <row r="3068" spans="2:7" x14ac:dyDescent="0.2">
      <c r="B3068" s="161" t="s">
        <v>450</v>
      </c>
      <c r="C3068" s="158"/>
      <c r="D3068" s="156"/>
      <c r="E3068" s="156"/>
      <c r="F3068" s="159"/>
      <c r="G3068" s="160"/>
    </row>
    <row r="3069" spans="2:7" x14ac:dyDescent="0.2">
      <c r="B3069" s="218" t="s">
        <v>551</v>
      </c>
      <c r="C3069" s="219" t="s">
        <v>2</v>
      </c>
      <c r="D3069" s="229"/>
      <c r="E3069" s="229"/>
      <c r="F3069" s="492">
        <v>1000</v>
      </c>
      <c r="G3069" s="221" t="s">
        <v>465</v>
      </c>
    </row>
    <row r="3070" spans="2:7" x14ac:dyDescent="0.2">
      <c r="B3070" s="152" t="s">
        <v>569</v>
      </c>
      <c r="C3070" s="219" t="s">
        <v>2</v>
      </c>
      <c r="D3070" s="229"/>
      <c r="E3070" s="229"/>
      <c r="F3070" s="492">
        <v>3700</v>
      </c>
      <c r="G3070" s="286" t="s">
        <v>465</v>
      </c>
    </row>
    <row r="3071" spans="2:7" x14ac:dyDescent="0.2">
      <c r="B3071" s="152" t="s">
        <v>552</v>
      </c>
      <c r="C3071" s="219" t="s">
        <v>2</v>
      </c>
      <c r="D3071" s="229"/>
      <c r="E3071" s="229"/>
      <c r="F3071" s="492">
        <v>1800</v>
      </c>
      <c r="G3071" s="286" t="s">
        <v>465</v>
      </c>
    </row>
    <row r="3072" spans="2:7" x14ac:dyDescent="0.2">
      <c r="B3072" s="180"/>
      <c r="C3072" s="185"/>
      <c r="D3072" s="181"/>
      <c r="E3072" s="186"/>
      <c r="F3072" s="222"/>
      <c r="G3072" s="230"/>
    </row>
    <row r="3073" spans="2:7" x14ac:dyDescent="0.2">
      <c r="B3073" s="157"/>
      <c r="C3073" s="158"/>
      <c r="D3073" s="156"/>
      <c r="E3073" s="156"/>
      <c r="F3073" s="159" t="s">
        <v>452</v>
      </c>
      <c r="G3073" s="183" t="s">
        <v>465</v>
      </c>
    </row>
    <row r="3074" spans="2:7" x14ac:dyDescent="0.2">
      <c r="B3074" s="161" t="s">
        <v>453</v>
      </c>
      <c r="C3074" s="158"/>
      <c r="D3074" s="156"/>
      <c r="E3074" s="156"/>
      <c r="F3074" s="159"/>
      <c r="G3074" s="160"/>
    </row>
    <row r="3075" spans="2:7" x14ac:dyDescent="0.2">
      <c r="B3075" s="218" t="s">
        <v>626</v>
      </c>
      <c r="C3075" s="219" t="s">
        <v>286</v>
      </c>
      <c r="D3075" s="229"/>
      <c r="E3075" s="229"/>
      <c r="F3075" s="470">
        <v>112200</v>
      </c>
      <c r="G3075" s="221" t="s">
        <v>465</v>
      </c>
    </row>
    <row r="3076" spans="2:7" x14ac:dyDescent="0.2">
      <c r="B3076" s="152" t="s">
        <v>642</v>
      </c>
      <c r="C3076" s="219" t="s">
        <v>286</v>
      </c>
      <c r="D3076" s="229"/>
      <c r="E3076" s="229"/>
      <c r="F3076" s="470">
        <v>17360</v>
      </c>
      <c r="G3076" s="286" t="s">
        <v>465</v>
      </c>
    </row>
    <row r="3077" spans="2:7" x14ac:dyDescent="0.2">
      <c r="B3077" s="180"/>
      <c r="C3077" s="185"/>
      <c r="D3077" s="181"/>
      <c r="E3077" s="186"/>
      <c r="F3077" s="222"/>
      <c r="G3077" s="230"/>
    </row>
    <row r="3078" spans="2:7" x14ac:dyDescent="0.2">
      <c r="B3078" s="157"/>
      <c r="C3078" s="158"/>
      <c r="D3078" s="156"/>
      <c r="E3078" s="156"/>
      <c r="F3078" s="159" t="s">
        <v>459</v>
      </c>
      <c r="G3078" s="183" t="s">
        <v>465</v>
      </c>
    </row>
    <row r="3079" spans="2:7" x14ac:dyDescent="0.2">
      <c r="B3079" s="157"/>
      <c r="C3079" s="158"/>
      <c r="D3079" s="156"/>
      <c r="E3079" s="156"/>
      <c r="F3079" s="159"/>
      <c r="G3079" s="160"/>
    </row>
    <row r="3080" spans="2:7" ht="17" thickBot="1" x14ac:dyDescent="0.25">
      <c r="B3080" s="206"/>
      <c r="C3080" s="207"/>
      <c r="D3080" s="208"/>
      <c r="E3080" s="209" t="s">
        <v>460</v>
      </c>
      <c r="F3080" s="210">
        <v>4347463.1500000004</v>
      </c>
      <c r="G3080" s="211">
        <v>5120</v>
      </c>
    </row>
    <row r="3081" spans="2:7" ht="17" thickTop="1" x14ac:dyDescent="0.2">
      <c r="B3081" s="212"/>
      <c r="C3081" s="213"/>
      <c r="D3081" s="212"/>
      <c r="E3081" s="212"/>
      <c r="F3081" s="212"/>
      <c r="G3081" s="212"/>
    </row>
    <row r="3082" spans="2:7" ht="17" thickBot="1" x14ac:dyDescent="0.25">
      <c r="B3082" s="212"/>
      <c r="C3082" s="213"/>
      <c r="D3082" s="212"/>
      <c r="E3082" s="212"/>
      <c r="F3082" s="212"/>
      <c r="G3082" s="212"/>
    </row>
    <row r="3083" spans="2:7" ht="17" thickTop="1" x14ac:dyDescent="0.2">
      <c r="B3083" s="537" t="s">
        <v>165</v>
      </c>
      <c r="C3083" s="538"/>
      <c r="D3083" s="538"/>
      <c r="E3083" s="538"/>
      <c r="F3083" s="148"/>
      <c r="G3083" s="149" t="s">
        <v>608</v>
      </c>
    </row>
    <row r="3084" spans="2:7" x14ac:dyDescent="0.2">
      <c r="B3084" s="539"/>
      <c r="C3084" s="540"/>
      <c r="D3084" s="540"/>
      <c r="E3084" s="540"/>
      <c r="F3084" s="150"/>
      <c r="G3084" s="151" t="s">
        <v>477</v>
      </c>
    </row>
    <row r="3085" spans="2:7" x14ac:dyDescent="0.2">
      <c r="B3085" s="152" t="s">
        <v>1</v>
      </c>
      <c r="C3085" s="153" t="s">
        <v>2</v>
      </c>
      <c r="D3085" s="153" t="s">
        <v>3</v>
      </c>
      <c r="E3085" s="153" t="s">
        <v>441</v>
      </c>
      <c r="F3085" s="154" t="s">
        <v>442</v>
      </c>
      <c r="G3085" s="155" t="s">
        <v>443</v>
      </c>
    </row>
    <row r="3086" spans="2:7" x14ac:dyDescent="0.2">
      <c r="B3086" s="157"/>
      <c r="C3086" s="158"/>
      <c r="D3086" s="156"/>
      <c r="E3086" s="156"/>
      <c r="F3086" s="159"/>
      <c r="G3086" s="160"/>
    </row>
    <row r="3087" spans="2:7" x14ac:dyDescent="0.2">
      <c r="B3087" s="161" t="s">
        <v>444</v>
      </c>
      <c r="C3087" s="158"/>
      <c r="D3087" s="156"/>
      <c r="E3087" s="156"/>
      <c r="F3087" s="159"/>
      <c r="G3087" s="160"/>
    </row>
    <row r="3088" spans="2:7" x14ac:dyDescent="0.2">
      <c r="B3088" s="236"/>
      <c r="C3088" s="185"/>
      <c r="D3088" s="181"/>
      <c r="E3088" s="186"/>
      <c r="F3088" s="222"/>
      <c r="G3088" s="237"/>
    </row>
    <row r="3089" spans="2:7" x14ac:dyDescent="0.2">
      <c r="B3089" s="157"/>
      <c r="C3089" s="158"/>
      <c r="D3089" s="156"/>
      <c r="E3089" s="156"/>
      <c r="F3089" s="159" t="s">
        <v>446</v>
      </c>
      <c r="G3089" s="183" t="s">
        <v>465</v>
      </c>
    </row>
    <row r="3090" spans="2:7" x14ac:dyDescent="0.2">
      <c r="B3090" s="379" t="s">
        <v>447</v>
      </c>
      <c r="C3090" s="158" t="s">
        <v>588</v>
      </c>
      <c r="D3090" s="158" t="s">
        <v>589</v>
      </c>
      <c r="E3090" s="158" t="s">
        <v>590</v>
      </c>
      <c r="F3090" s="380" t="s">
        <v>591</v>
      </c>
      <c r="G3090" s="381" t="s">
        <v>592</v>
      </c>
    </row>
    <row r="3091" spans="2:7" x14ac:dyDescent="0.2">
      <c r="B3091" s="471" t="s">
        <v>644</v>
      </c>
      <c r="C3091" s="486">
        <v>691366</v>
      </c>
      <c r="D3091" s="181">
        <v>1.47</v>
      </c>
      <c r="E3091" s="396">
        <v>1016308</v>
      </c>
      <c r="F3091" s="154">
        <v>462</v>
      </c>
      <c r="G3091" s="489">
        <v>2200</v>
      </c>
    </row>
    <row r="3092" spans="2:7" x14ac:dyDescent="0.2">
      <c r="B3092" s="475" t="s">
        <v>524</v>
      </c>
      <c r="C3092" s="486">
        <v>107474</v>
      </c>
      <c r="D3092" s="415">
        <v>1.47</v>
      </c>
      <c r="E3092" s="464">
        <v>157986</v>
      </c>
      <c r="F3092" s="491">
        <v>462</v>
      </c>
      <c r="G3092" s="489">
        <v>342</v>
      </c>
    </row>
    <row r="3093" spans="2:7" x14ac:dyDescent="0.2">
      <c r="B3093" s="475" t="s">
        <v>525</v>
      </c>
      <c r="C3093" s="486">
        <v>272540</v>
      </c>
      <c r="D3093" s="415">
        <v>1.47</v>
      </c>
      <c r="E3093" s="363">
        <v>400633</v>
      </c>
      <c r="F3093" s="491">
        <v>231</v>
      </c>
      <c r="G3093" s="489">
        <v>1734</v>
      </c>
    </row>
    <row r="3094" spans="2:7" x14ac:dyDescent="0.2">
      <c r="B3094" s="180"/>
      <c r="C3094" s="185"/>
      <c r="D3094" s="181"/>
      <c r="E3094" s="170"/>
      <c r="F3094" s="222"/>
      <c r="G3094" s="237"/>
    </row>
    <row r="3095" spans="2:7" x14ac:dyDescent="0.2">
      <c r="B3095" s="157"/>
      <c r="C3095" s="158"/>
      <c r="D3095" s="156"/>
      <c r="E3095" s="156"/>
      <c r="F3095" s="159" t="s">
        <v>449</v>
      </c>
      <c r="G3095" s="183">
        <v>4276.1000000000004</v>
      </c>
    </row>
    <row r="3096" spans="2:7" x14ac:dyDescent="0.2">
      <c r="B3096" s="161" t="s">
        <v>450</v>
      </c>
      <c r="C3096" s="158"/>
      <c r="D3096" s="156"/>
      <c r="E3096" s="156"/>
      <c r="F3096" s="159"/>
      <c r="G3096" s="160"/>
    </row>
    <row r="3097" spans="2:7" x14ac:dyDescent="0.2">
      <c r="B3097" s="218" t="s">
        <v>551</v>
      </c>
      <c r="C3097" s="219" t="s">
        <v>2</v>
      </c>
      <c r="D3097" s="229"/>
      <c r="E3097" s="229"/>
      <c r="F3097" s="492">
        <v>1000</v>
      </c>
      <c r="G3097" s="221" t="s">
        <v>465</v>
      </c>
    </row>
    <row r="3098" spans="2:7" x14ac:dyDescent="0.2">
      <c r="B3098" s="152" t="s">
        <v>569</v>
      </c>
      <c r="C3098" s="219" t="s">
        <v>2</v>
      </c>
      <c r="D3098" s="229"/>
      <c r="E3098" s="229"/>
      <c r="F3098" s="492">
        <v>3700</v>
      </c>
      <c r="G3098" s="286" t="s">
        <v>465</v>
      </c>
    </row>
    <row r="3099" spans="2:7" x14ac:dyDescent="0.2">
      <c r="B3099" s="152" t="s">
        <v>552</v>
      </c>
      <c r="C3099" s="219" t="s">
        <v>2</v>
      </c>
      <c r="D3099" s="229"/>
      <c r="E3099" s="229"/>
      <c r="F3099" s="492">
        <v>1800</v>
      </c>
      <c r="G3099" s="286" t="s">
        <v>465</v>
      </c>
    </row>
    <row r="3100" spans="2:7" x14ac:dyDescent="0.2">
      <c r="B3100" s="180"/>
      <c r="C3100" s="185"/>
      <c r="D3100" s="181"/>
      <c r="E3100" s="186"/>
      <c r="F3100" s="222"/>
      <c r="G3100" s="230"/>
    </row>
    <row r="3101" spans="2:7" x14ac:dyDescent="0.2">
      <c r="B3101" s="157"/>
      <c r="C3101" s="158"/>
      <c r="D3101" s="156"/>
      <c r="E3101" s="156"/>
      <c r="F3101" s="159" t="s">
        <v>452</v>
      </c>
      <c r="G3101" s="183" t="s">
        <v>465</v>
      </c>
    </row>
    <row r="3102" spans="2:7" x14ac:dyDescent="0.2">
      <c r="B3102" s="161" t="s">
        <v>453</v>
      </c>
      <c r="C3102" s="158"/>
      <c r="D3102" s="156"/>
      <c r="E3102" s="156"/>
      <c r="F3102" s="159"/>
      <c r="G3102" s="160"/>
    </row>
    <row r="3103" spans="2:7" x14ac:dyDescent="0.2">
      <c r="B3103" s="218" t="s">
        <v>626</v>
      </c>
      <c r="C3103" s="219" t="s">
        <v>286</v>
      </c>
      <c r="D3103" s="229"/>
      <c r="E3103" s="229"/>
      <c r="F3103" s="470">
        <v>112200</v>
      </c>
      <c r="G3103" s="221" t="s">
        <v>465</v>
      </c>
    </row>
    <row r="3104" spans="2:7" x14ac:dyDescent="0.2">
      <c r="B3104" s="152" t="s">
        <v>642</v>
      </c>
      <c r="C3104" s="219" t="s">
        <v>286</v>
      </c>
      <c r="D3104" s="229"/>
      <c r="E3104" s="229"/>
      <c r="F3104" s="470">
        <v>17360</v>
      </c>
      <c r="G3104" s="286" t="s">
        <v>465</v>
      </c>
    </row>
    <row r="3105" spans="2:7" x14ac:dyDescent="0.2">
      <c r="B3105" s="180"/>
      <c r="C3105" s="185"/>
      <c r="D3105" s="181"/>
      <c r="E3105" s="186"/>
      <c r="F3105" s="222"/>
      <c r="G3105" s="230"/>
    </row>
    <row r="3106" spans="2:7" x14ac:dyDescent="0.2">
      <c r="B3106" s="157"/>
      <c r="C3106" s="158"/>
      <c r="D3106" s="156"/>
      <c r="E3106" s="156"/>
      <c r="F3106" s="159" t="s">
        <v>459</v>
      </c>
      <c r="G3106" s="183" t="s">
        <v>465</v>
      </c>
    </row>
    <row r="3107" spans="2:7" x14ac:dyDescent="0.2">
      <c r="B3107" s="157"/>
      <c r="C3107" s="158"/>
      <c r="D3107" s="156"/>
      <c r="E3107" s="156"/>
      <c r="F3107" s="159"/>
      <c r="G3107" s="160"/>
    </row>
    <row r="3108" spans="2:7" ht="17" thickBot="1" x14ac:dyDescent="0.25">
      <c r="B3108" s="206"/>
      <c r="C3108" s="207"/>
      <c r="D3108" s="208"/>
      <c r="E3108" s="209" t="s">
        <v>460</v>
      </c>
      <c r="F3108" s="210">
        <v>4203465.33</v>
      </c>
      <c r="G3108" s="211">
        <v>4276</v>
      </c>
    </row>
    <row r="3109" spans="2:7" ht="17" thickTop="1" x14ac:dyDescent="0.2">
      <c r="B3109" s="212"/>
      <c r="C3109" s="213"/>
      <c r="D3109" s="212"/>
      <c r="E3109" s="212"/>
      <c r="F3109" s="212"/>
      <c r="G3109" s="212"/>
    </row>
    <row r="3110" spans="2:7" ht="17" thickBot="1" x14ac:dyDescent="0.25">
      <c r="B3110" s="212"/>
      <c r="C3110" s="213"/>
      <c r="D3110" s="212"/>
      <c r="E3110" s="212"/>
      <c r="F3110" s="212"/>
      <c r="G3110" s="212"/>
    </row>
    <row r="3111" spans="2:7" ht="17" thickTop="1" x14ac:dyDescent="0.2">
      <c r="B3111" s="537" t="s">
        <v>166</v>
      </c>
      <c r="C3111" s="538"/>
      <c r="D3111" s="538"/>
      <c r="E3111" s="538"/>
      <c r="F3111" s="148"/>
      <c r="G3111" s="149" t="s">
        <v>608</v>
      </c>
    </row>
    <row r="3112" spans="2:7" x14ac:dyDescent="0.2">
      <c r="B3112" s="539"/>
      <c r="C3112" s="540"/>
      <c r="D3112" s="540"/>
      <c r="E3112" s="540"/>
      <c r="F3112" s="150"/>
      <c r="G3112" s="151" t="s">
        <v>477</v>
      </c>
    </row>
    <row r="3113" spans="2:7" x14ac:dyDescent="0.2">
      <c r="B3113" s="152" t="s">
        <v>1</v>
      </c>
      <c r="C3113" s="153" t="s">
        <v>2</v>
      </c>
      <c r="D3113" s="153" t="s">
        <v>3</v>
      </c>
      <c r="E3113" s="153" t="s">
        <v>441</v>
      </c>
      <c r="F3113" s="154" t="s">
        <v>442</v>
      </c>
      <c r="G3113" s="155" t="s">
        <v>443</v>
      </c>
    </row>
    <row r="3114" spans="2:7" x14ac:dyDescent="0.2">
      <c r="B3114" s="157"/>
      <c r="C3114" s="158"/>
      <c r="D3114" s="156"/>
      <c r="E3114" s="156"/>
      <c r="F3114" s="159"/>
      <c r="G3114" s="160"/>
    </row>
    <row r="3115" spans="2:7" x14ac:dyDescent="0.2">
      <c r="B3115" s="161" t="s">
        <v>444</v>
      </c>
      <c r="C3115" s="158"/>
      <c r="D3115" s="156"/>
      <c r="E3115" s="156"/>
      <c r="F3115" s="159"/>
      <c r="G3115" s="160"/>
    </row>
    <row r="3116" spans="2:7" x14ac:dyDescent="0.2">
      <c r="B3116" s="236"/>
      <c r="C3116" s="185"/>
      <c r="D3116" s="181"/>
      <c r="E3116" s="186"/>
      <c r="F3116" s="222"/>
      <c r="G3116" s="237"/>
    </row>
    <row r="3117" spans="2:7" x14ac:dyDescent="0.2">
      <c r="B3117" s="157"/>
      <c r="C3117" s="158"/>
      <c r="D3117" s="156"/>
      <c r="E3117" s="156"/>
      <c r="F3117" s="159" t="s">
        <v>446</v>
      </c>
      <c r="G3117" s="183" t="s">
        <v>465</v>
      </c>
    </row>
    <row r="3118" spans="2:7" x14ac:dyDescent="0.2">
      <c r="B3118" s="379" t="s">
        <v>447</v>
      </c>
      <c r="C3118" s="158" t="s">
        <v>588</v>
      </c>
      <c r="D3118" s="158" t="s">
        <v>589</v>
      </c>
      <c r="E3118" s="158" t="s">
        <v>590</v>
      </c>
      <c r="F3118" s="380" t="s">
        <v>591</v>
      </c>
      <c r="G3118" s="381" t="s">
        <v>592</v>
      </c>
    </row>
    <row r="3119" spans="2:7" x14ac:dyDescent="0.2">
      <c r="B3119" s="471" t="s">
        <v>645</v>
      </c>
      <c r="C3119" s="486">
        <v>907136</v>
      </c>
      <c r="D3119" s="181">
        <v>1.47</v>
      </c>
      <c r="E3119" s="396">
        <v>1333489</v>
      </c>
      <c r="F3119" s="493">
        <v>594</v>
      </c>
      <c r="G3119" s="489">
        <v>2245</v>
      </c>
    </row>
    <row r="3120" spans="2:7" x14ac:dyDescent="0.2">
      <c r="B3120" s="475" t="s">
        <v>524</v>
      </c>
      <c r="C3120" s="486">
        <v>107474</v>
      </c>
      <c r="D3120" s="415">
        <v>1.47</v>
      </c>
      <c r="E3120" s="464">
        <v>157986</v>
      </c>
      <c r="F3120" s="494">
        <v>594</v>
      </c>
      <c r="G3120" s="489">
        <v>266</v>
      </c>
    </row>
    <row r="3121" spans="2:7" x14ac:dyDescent="0.2">
      <c r="B3121" s="475" t="s">
        <v>525</v>
      </c>
      <c r="C3121" s="486">
        <v>272540</v>
      </c>
      <c r="D3121" s="415">
        <v>1.47</v>
      </c>
      <c r="E3121" s="363">
        <v>400633</v>
      </c>
      <c r="F3121" s="491">
        <v>297</v>
      </c>
      <c r="G3121" s="489">
        <v>1349</v>
      </c>
    </row>
    <row r="3122" spans="2:7" x14ac:dyDescent="0.2">
      <c r="B3122" s="180"/>
      <c r="C3122" s="185"/>
      <c r="D3122" s="181"/>
      <c r="E3122" s="170"/>
      <c r="F3122" s="222"/>
      <c r="G3122" s="237"/>
    </row>
    <row r="3123" spans="2:7" x14ac:dyDescent="0.2">
      <c r="B3123" s="157"/>
      <c r="C3123" s="158"/>
      <c r="D3123" s="156"/>
      <c r="E3123" s="156"/>
      <c r="F3123" s="159" t="s">
        <v>449</v>
      </c>
      <c r="G3123" s="183">
        <v>3859.83</v>
      </c>
    </row>
    <row r="3124" spans="2:7" x14ac:dyDescent="0.2">
      <c r="B3124" s="161" t="s">
        <v>450</v>
      </c>
      <c r="C3124" s="158"/>
      <c r="D3124" s="156"/>
      <c r="E3124" s="156"/>
      <c r="F3124" s="159"/>
      <c r="G3124" s="160"/>
    </row>
    <row r="3125" spans="2:7" x14ac:dyDescent="0.2">
      <c r="B3125" s="218" t="s">
        <v>551</v>
      </c>
      <c r="C3125" s="219" t="s">
        <v>2</v>
      </c>
      <c r="D3125" s="229"/>
      <c r="E3125" s="229"/>
      <c r="F3125" s="492">
        <v>1000</v>
      </c>
      <c r="G3125" s="221" t="s">
        <v>465</v>
      </c>
    </row>
    <row r="3126" spans="2:7" x14ac:dyDescent="0.2">
      <c r="B3126" s="152" t="s">
        <v>569</v>
      </c>
      <c r="C3126" s="219" t="s">
        <v>2</v>
      </c>
      <c r="D3126" s="229"/>
      <c r="E3126" s="229"/>
      <c r="F3126" s="492">
        <v>3700</v>
      </c>
      <c r="G3126" s="286" t="s">
        <v>465</v>
      </c>
    </row>
    <row r="3127" spans="2:7" x14ac:dyDescent="0.2">
      <c r="B3127" s="152" t="s">
        <v>552</v>
      </c>
      <c r="C3127" s="219" t="s">
        <v>2</v>
      </c>
      <c r="D3127" s="229"/>
      <c r="E3127" s="229"/>
      <c r="F3127" s="492">
        <v>1800</v>
      </c>
      <c r="G3127" s="286" t="s">
        <v>465</v>
      </c>
    </row>
    <row r="3128" spans="2:7" x14ac:dyDescent="0.2">
      <c r="B3128" s="180"/>
      <c r="C3128" s="185"/>
      <c r="D3128" s="181"/>
      <c r="E3128" s="186"/>
      <c r="F3128" s="222"/>
      <c r="G3128" s="230"/>
    </row>
    <row r="3129" spans="2:7" x14ac:dyDescent="0.2">
      <c r="B3129" s="157"/>
      <c r="C3129" s="158"/>
      <c r="D3129" s="156"/>
      <c r="E3129" s="156"/>
      <c r="F3129" s="159" t="s">
        <v>452</v>
      </c>
      <c r="G3129" s="183" t="s">
        <v>465</v>
      </c>
    </row>
    <row r="3130" spans="2:7" x14ac:dyDescent="0.2">
      <c r="B3130" s="161" t="s">
        <v>453</v>
      </c>
      <c r="C3130" s="158"/>
      <c r="D3130" s="156"/>
      <c r="E3130" s="156"/>
      <c r="F3130" s="159"/>
      <c r="G3130" s="160"/>
    </row>
    <row r="3131" spans="2:7" x14ac:dyDescent="0.2">
      <c r="B3131" s="218" t="s">
        <v>626</v>
      </c>
      <c r="C3131" s="219" t="s">
        <v>286</v>
      </c>
      <c r="D3131" s="229"/>
      <c r="E3131" s="229"/>
      <c r="F3131" s="470">
        <v>112200</v>
      </c>
      <c r="G3131" s="221" t="s">
        <v>465</v>
      </c>
    </row>
    <row r="3132" spans="2:7" x14ac:dyDescent="0.2">
      <c r="B3132" s="152" t="s">
        <v>642</v>
      </c>
      <c r="C3132" s="219" t="s">
        <v>286</v>
      </c>
      <c r="D3132" s="229"/>
      <c r="E3132" s="229"/>
      <c r="F3132" s="470">
        <v>17360</v>
      </c>
      <c r="G3132" s="286" t="s">
        <v>465</v>
      </c>
    </row>
    <row r="3133" spans="2:7" x14ac:dyDescent="0.2">
      <c r="B3133" s="180"/>
      <c r="C3133" s="185"/>
      <c r="D3133" s="181"/>
      <c r="E3133" s="186"/>
      <c r="F3133" s="222"/>
      <c r="G3133" s="230"/>
    </row>
    <row r="3134" spans="2:7" x14ac:dyDescent="0.2">
      <c r="B3134" s="157"/>
      <c r="C3134" s="158"/>
      <c r="D3134" s="156"/>
      <c r="E3134" s="156"/>
      <c r="F3134" s="159" t="s">
        <v>459</v>
      </c>
      <c r="G3134" s="183" t="s">
        <v>465</v>
      </c>
    </row>
    <row r="3135" spans="2:7" x14ac:dyDescent="0.2">
      <c r="B3135" s="157"/>
      <c r="C3135" s="158"/>
      <c r="D3135" s="156"/>
      <c r="E3135" s="156"/>
      <c r="F3135" s="159"/>
      <c r="G3135" s="160"/>
    </row>
    <row r="3136" spans="2:7" ht="17" thickBot="1" x14ac:dyDescent="0.25">
      <c r="B3136" s="206"/>
      <c r="C3136" s="207"/>
      <c r="D3136" s="208"/>
      <c r="E3136" s="209" t="s">
        <v>460</v>
      </c>
      <c r="F3136" s="210">
        <v>4015892.01</v>
      </c>
      <c r="G3136" s="211">
        <v>3860</v>
      </c>
    </row>
    <row r="3137" spans="2:7" ht="17" thickTop="1" x14ac:dyDescent="0.2">
      <c r="B3137" s="212"/>
      <c r="C3137" s="213"/>
      <c r="D3137" s="212"/>
      <c r="E3137" s="212"/>
      <c r="F3137" s="212"/>
      <c r="G3137" s="212"/>
    </row>
    <row r="3138" spans="2:7" ht="17" thickBot="1" x14ac:dyDescent="0.25">
      <c r="B3138" s="212"/>
      <c r="C3138" s="213"/>
      <c r="D3138" s="212"/>
      <c r="E3138" s="212"/>
      <c r="F3138" s="212"/>
      <c r="G3138" s="212"/>
    </row>
    <row r="3139" spans="2:7" ht="17" thickTop="1" x14ac:dyDescent="0.2">
      <c r="B3139" s="537" t="s">
        <v>167</v>
      </c>
      <c r="C3139" s="538"/>
      <c r="D3139" s="538"/>
      <c r="E3139" s="538"/>
      <c r="F3139" s="148"/>
      <c r="G3139" s="149" t="s">
        <v>608</v>
      </c>
    </row>
    <row r="3140" spans="2:7" x14ac:dyDescent="0.2">
      <c r="B3140" s="539"/>
      <c r="C3140" s="540"/>
      <c r="D3140" s="540"/>
      <c r="E3140" s="540"/>
      <c r="F3140" s="150"/>
      <c r="G3140" s="151" t="s">
        <v>477</v>
      </c>
    </row>
    <row r="3141" spans="2:7" x14ac:dyDescent="0.2">
      <c r="B3141" s="152" t="s">
        <v>1</v>
      </c>
      <c r="C3141" s="153" t="s">
        <v>2</v>
      </c>
      <c r="D3141" s="153" t="s">
        <v>3</v>
      </c>
      <c r="E3141" s="153" t="s">
        <v>441</v>
      </c>
      <c r="F3141" s="154" t="s">
        <v>442</v>
      </c>
      <c r="G3141" s="155" t="s">
        <v>443</v>
      </c>
    </row>
    <row r="3142" spans="2:7" x14ac:dyDescent="0.2">
      <c r="B3142" s="157"/>
      <c r="C3142" s="158"/>
      <c r="D3142" s="156"/>
      <c r="E3142" s="156"/>
      <c r="F3142" s="159"/>
      <c r="G3142" s="160"/>
    </row>
    <row r="3143" spans="2:7" x14ac:dyDescent="0.2">
      <c r="B3143" s="161" t="s">
        <v>444</v>
      </c>
      <c r="C3143" s="158"/>
      <c r="D3143" s="156"/>
      <c r="E3143" s="156"/>
      <c r="F3143" s="159"/>
      <c r="G3143" s="160"/>
    </row>
    <row r="3144" spans="2:7" x14ac:dyDescent="0.2">
      <c r="B3144" s="236"/>
      <c r="C3144" s="185"/>
      <c r="D3144" s="181"/>
      <c r="E3144" s="186"/>
      <c r="F3144" s="222"/>
      <c r="G3144" s="237"/>
    </row>
    <row r="3145" spans="2:7" x14ac:dyDescent="0.2">
      <c r="B3145" s="157"/>
      <c r="C3145" s="158"/>
      <c r="D3145" s="156"/>
      <c r="E3145" s="156"/>
      <c r="F3145" s="159" t="s">
        <v>446</v>
      </c>
      <c r="G3145" s="183" t="s">
        <v>465</v>
      </c>
    </row>
    <row r="3146" spans="2:7" x14ac:dyDescent="0.2">
      <c r="B3146" s="379" t="s">
        <v>447</v>
      </c>
      <c r="C3146" s="158" t="s">
        <v>588</v>
      </c>
      <c r="D3146" s="158" t="s">
        <v>589</v>
      </c>
      <c r="E3146" s="158" t="s">
        <v>590</v>
      </c>
      <c r="F3146" s="380" t="s">
        <v>591</v>
      </c>
      <c r="G3146" s="381" t="s">
        <v>592</v>
      </c>
    </row>
    <row r="3147" spans="2:7" x14ac:dyDescent="0.2">
      <c r="B3147" s="471" t="s">
        <v>583</v>
      </c>
      <c r="C3147" s="486">
        <v>314474</v>
      </c>
      <c r="D3147" s="181">
        <v>1.47</v>
      </c>
      <c r="E3147" s="396">
        <v>462276</v>
      </c>
      <c r="F3147" s="154">
        <v>99</v>
      </c>
      <c r="G3147" s="489">
        <v>4669</v>
      </c>
    </row>
    <row r="3148" spans="2:7" x14ac:dyDescent="0.2">
      <c r="B3148" s="475" t="s">
        <v>524</v>
      </c>
      <c r="C3148" s="486">
        <v>107474</v>
      </c>
      <c r="D3148" s="415">
        <v>1.47</v>
      </c>
      <c r="E3148" s="464">
        <v>157986</v>
      </c>
      <c r="F3148" s="491">
        <v>99</v>
      </c>
      <c r="G3148" s="489">
        <v>1596</v>
      </c>
    </row>
    <row r="3149" spans="2:7" x14ac:dyDescent="0.2">
      <c r="B3149" s="475" t="s">
        <v>525</v>
      </c>
      <c r="C3149" s="486">
        <v>272540</v>
      </c>
      <c r="D3149" s="415">
        <v>1.47</v>
      </c>
      <c r="E3149" s="363">
        <v>400633</v>
      </c>
      <c r="F3149" s="491">
        <v>49.5</v>
      </c>
      <c r="G3149" s="489">
        <v>8094</v>
      </c>
    </row>
    <row r="3150" spans="2:7" x14ac:dyDescent="0.2">
      <c r="B3150" s="180"/>
      <c r="C3150" s="185"/>
      <c r="D3150" s="181"/>
      <c r="E3150" s="170"/>
      <c r="F3150" s="222"/>
      <c r="G3150" s="237"/>
    </row>
    <row r="3151" spans="2:7" x14ac:dyDescent="0.2">
      <c r="B3151" s="157"/>
      <c r="C3151" s="158"/>
      <c r="D3151" s="156"/>
      <c r="E3151" s="156"/>
      <c r="F3151" s="159" t="s">
        <v>449</v>
      </c>
      <c r="G3151" s="183">
        <v>14358.87</v>
      </c>
    </row>
    <row r="3152" spans="2:7" x14ac:dyDescent="0.2">
      <c r="B3152" s="161" t="s">
        <v>450</v>
      </c>
      <c r="C3152" s="158"/>
      <c r="D3152" s="156"/>
      <c r="E3152" s="156"/>
      <c r="F3152" s="159"/>
      <c r="G3152" s="160"/>
    </row>
    <row r="3153" spans="2:7" x14ac:dyDescent="0.2">
      <c r="B3153" s="218" t="s">
        <v>551</v>
      </c>
      <c r="C3153" s="219" t="s">
        <v>2</v>
      </c>
      <c r="D3153" s="229"/>
      <c r="E3153" s="229"/>
      <c r="F3153" s="492">
        <v>1000</v>
      </c>
      <c r="G3153" s="221" t="s">
        <v>465</v>
      </c>
    </row>
    <row r="3154" spans="2:7" x14ac:dyDescent="0.2">
      <c r="B3154" s="152" t="s">
        <v>569</v>
      </c>
      <c r="C3154" s="219" t="s">
        <v>2</v>
      </c>
      <c r="D3154" s="229"/>
      <c r="E3154" s="229"/>
      <c r="F3154" s="492">
        <v>3700</v>
      </c>
      <c r="G3154" s="286" t="s">
        <v>465</v>
      </c>
    </row>
    <row r="3155" spans="2:7" x14ac:dyDescent="0.2">
      <c r="B3155" s="152" t="s">
        <v>552</v>
      </c>
      <c r="C3155" s="219" t="s">
        <v>2</v>
      </c>
      <c r="D3155" s="229"/>
      <c r="E3155" s="229"/>
      <c r="F3155" s="492">
        <v>1800</v>
      </c>
      <c r="G3155" s="286" t="s">
        <v>465</v>
      </c>
    </row>
    <row r="3156" spans="2:7" x14ac:dyDescent="0.2">
      <c r="B3156" s="180"/>
      <c r="C3156" s="185"/>
      <c r="D3156" s="181"/>
      <c r="E3156" s="186"/>
      <c r="F3156" s="222"/>
      <c r="G3156" s="230"/>
    </row>
    <row r="3157" spans="2:7" x14ac:dyDescent="0.2">
      <c r="B3157" s="157"/>
      <c r="C3157" s="158"/>
      <c r="D3157" s="156"/>
      <c r="E3157" s="156"/>
      <c r="F3157" s="159" t="s">
        <v>452</v>
      </c>
      <c r="G3157" s="183" t="s">
        <v>465</v>
      </c>
    </row>
    <row r="3158" spans="2:7" x14ac:dyDescent="0.2">
      <c r="B3158" s="161" t="s">
        <v>453</v>
      </c>
      <c r="C3158" s="158"/>
      <c r="D3158" s="156"/>
      <c r="E3158" s="156"/>
      <c r="F3158" s="159"/>
      <c r="G3158" s="160"/>
    </row>
    <row r="3159" spans="2:7" x14ac:dyDescent="0.2">
      <c r="B3159" s="218" t="s">
        <v>626</v>
      </c>
      <c r="C3159" s="219" t="s">
        <v>286</v>
      </c>
      <c r="D3159" s="229"/>
      <c r="E3159" s="229"/>
      <c r="F3159" s="470">
        <v>112200</v>
      </c>
      <c r="G3159" s="221" t="s">
        <v>465</v>
      </c>
    </row>
    <row r="3160" spans="2:7" x14ac:dyDescent="0.2">
      <c r="B3160" s="152" t="s">
        <v>642</v>
      </c>
      <c r="C3160" s="219" t="s">
        <v>286</v>
      </c>
      <c r="D3160" s="229"/>
      <c r="E3160" s="229"/>
      <c r="F3160" s="470">
        <v>17360</v>
      </c>
      <c r="G3160" s="286" t="s">
        <v>465</v>
      </c>
    </row>
    <row r="3161" spans="2:7" x14ac:dyDescent="0.2">
      <c r="B3161" s="180"/>
      <c r="C3161" s="185"/>
      <c r="D3161" s="181"/>
      <c r="E3161" s="186"/>
      <c r="F3161" s="222"/>
      <c r="G3161" s="230"/>
    </row>
    <row r="3162" spans="2:7" x14ac:dyDescent="0.2">
      <c r="B3162" s="157"/>
      <c r="C3162" s="158"/>
      <c r="D3162" s="156"/>
      <c r="E3162" s="156"/>
      <c r="F3162" s="159" t="s">
        <v>459</v>
      </c>
      <c r="G3162" s="183" t="s">
        <v>465</v>
      </c>
    </row>
    <row r="3163" spans="2:7" x14ac:dyDescent="0.2">
      <c r="B3163" s="157"/>
      <c r="C3163" s="158"/>
      <c r="D3163" s="156"/>
      <c r="E3163" s="156"/>
      <c r="F3163" s="159"/>
      <c r="G3163" s="160"/>
    </row>
    <row r="3164" spans="2:7" ht="17" thickBot="1" x14ac:dyDescent="0.25">
      <c r="B3164" s="206"/>
      <c r="C3164" s="207"/>
      <c r="D3164" s="208"/>
      <c r="E3164" s="209" t="s">
        <v>460</v>
      </c>
      <c r="F3164" s="210">
        <v>3903757.67</v>
      </c>
      <c r="G3164" s="211">
        <v>14359</v>
      </c>
    </row>
    <row r="3165" spans="2:7" ht="17" thickTop="1" x14ac:dyDescent="0.2">
      <c r="B3165" s="212"/>
      <c r="C3165" s="213"/>
      <c r="D3165" s="212"/>
      <c r="E3165" s="212"/>
      <c r="F3165" s="212"/>
      <c r="G3165" s="212"/>
    </row>
    <row r="3166" spans="2:7" ht="17" thickBot="1" x14ac:dyDescent="0.25">
      <c r="B3166" s="212"/>
      <c r="C3166" s="213"/>
      <c r="D3166" s="212"/>
      <c r="E3166" s="212"/>
      <c r="F3166" s="212"/>
      <c r="G3166" s="212"/>
    </row>
    <row r="3167" spans="2:7" ht="17" thickTop="1" x14ac:dyDescent="0.2">
      <c r="B3167" s="537" t="s">
        <v>168</v>
      </c>
      <c r="C3167" s="538"/>
      <c r="D3167" s="538"/>
      <c r="E3167" s="538"/>
      <c r="F3167" s="148"/>
      <c r="G3167" s="149" t="s">
        <v>608</v>
      </c>
    </row>
    <row r="3168" spans="2:7" x14ac:dyDescent="0.2">
      <c r="B3168" s="539"/>
      <c r="C3168" s="540"/>
      <c r="D3168" s="540"/>
      <c r="E3168" s="540"/>
      <c r="F3168" s="150"/>
      <c r="G3168" s="151" t="s">
        <v>477</v>
      </c>
    </row>
    <row r="3169" spans="2:7" x14ac:dyDescent="0.2">
      <c r="B3169" s="152" t="s">
        <v>1</v>
      </c>
      <c r="C3169" s="153" t="s">
        <v>2</v>
      </c>
      <c r="D3169" s="153" t="s">
        <v>3</v>
      </c>
      <c r="E3169" s="153" t="s">
        <v>441</v>
      </c>
      <c r="F3169" s="154" t="s">
        <v>442</v>
      </c>
      <c r="G3169" s="155" t="s">
        <v>443</v>
      </c>
    </row>
    <row r="3170" spans="2:7" x14ac:dyDescent="0.2">
      <c r="B3170" s="157"/>
      <c r="C3170" s="158"/>
      <c r="D3170" s="156"/>
      <c r="E3170" s="156"/>
      <c r="F3170" s="159"/>
      <c r="G3170" s="160"/>
    </row>
    <row r="3171" spans="2:7" x14ac:dyDescent="0.2">
      <c r="B3171" s="161" t="s">
        <v>444</v>
      </c>
      <c r="C3171" s="158"/>
      <c r="D3171" s="156"/>
      <c r="E3171" s="156"/>
      <c r="F3171" s="159"/>
      <c r="G3171" s="160"/>
    </row>
    <row r="3172" spans="2:7" x14ac:dyDescent="0.2">
      <c r="B3172" s="236"/>
      <c r="C3172" s="185"/>
      <c r="D3172" s="181"/>
      <c r="E3172" s="186"/>
      <c r="F3172" s="222"/>
      <c r="G3172" s="237"/>
    </row>
    <row r="3173" spans="2:7" x14ac:dyDescent="0.2">
      <c r="B3173" s="157"/>
      <c r="C3173" s="158"/>
      <c r="D3173" s="156"/>
      <c r="E3173" s="156"/>
      <c r="F3173" s="159" t="s">
        <v>446</v>
      </c>
      <c r="G3173" s="183" t="s">
        <v>465</v>
      </c>
    </row>
    <row r="3174" spans="2:7" x14ac:dyDescent="0.2">
      <c r="B3174" s="379" t="s">
        <v>447</v>
      </c>
      <c r="C3174" s="158" t="s">
        <v>588</v>
      </c>
      <c r="D3174" s="158" t="s">
        <v>589</v>
      </c>
      <c r="E3174" s="158" t="s">
        <v>590</v>
      </c>
      <c r="F3174" s="380" t="s">
        <v>591</v>
      </c>
      <c r="G3174" s="381" t="s">
        <v>592</v>
      </c>
    </row>
    <row r="3175" spans="2:7" x14ac:dyDescent="0.2">
      <c r="B3175" s="471" t="s">
        <v>523</v>
      </c>
      <c r="C3175" s="486">
        <v>401056</v>
      </c>
      <c r="D3175" s="181">
        <v>1.47</v>
      </c>
      <c r="E3175" s="396">
        <v>589552</v>
      </c>
      <c r="F3175" s="493">
        <v>132</v>
      </c>
      <c r="G3175" s="489">
        <v>4466</v>
      </c>
    </row>
    <row r="3176" spans="2:7" x14ac:dyDescent="0.2">
      <c r="B3176" s="475" t="s">
        <v>524</v>
      </c>
      <c r="C3176" s="486">
        <v>107474</v>
      </c>
      <c r="D3176" s="415">
        <v>1.47</v>
      </c>
      <c r="E3176" s="464">
        <v>157986</v>
      </c>
      <c r="F3176" s="494">
        <v>132</v>
      </c>
      <c r="G3176" s="489">
        <v>1197</v>
      </c>
    </row>
    <row r="3177" spans="2:7" x14ac:dyDescent="0.2">
      <c r="B3177" s="475" t="s">
        <v>525</v>
      </c>
      <c r="C3177" s="486">
        <v>272540</v>
      </c>
      <c r="D3177" s="415">
        <v>1.47</v>
      </c>
      <c r="E3177" s="363">
        <v>400633</v>
      </c>
      <c r="F3177" s="491">
        <v>66</v>
      </c>
      <c r="G3177" s="489">
        <v>6070</v>
      </c>
    </row>
    <row r="3178" spans="2:7" x14ac:dyDescent="0.2">
      <c r="B3178" s="180"/>
      <c r="C3178" s="185"/>
      <c r="D3178" s="181"/>
      <c r="E3178" s="170"/>
      <c r="F3178" s="222"/>
      <c r="G3178" s="237"/>
    </row>
    <row r="3179" spans="2:7" x14ac:dyDescent="0.2">
      <c r="B3179" s="157"/>
      <c r="C3179" s="158"/>
      <c r="D3179" s="156"/>
      <c r="E3179" s="156"/>
      <c r="F3179" s="159" t="s">
        <v>449</v>
      </c>
      <c r="G3179" s="183">
        <v>11733.36</v>
      </c>
    </row>
    <row r="3180" spans="2:7" x14ac:dyDescent="0.2">
      <c r="B3180" s="161" t="s">
        <v>450</v>
      </c>
      <c r="C3180" s="158"/>
      <c r="D3180" s="156"/>
      <c r="E3180" s="156"/>
      <c r="F3180" s="159"/>
      <c r="G3180" s="160"/>
    </row>
    <row r="3181" spans="2:7" x14ac:dyDescent="0.2">
      <c r="B3181" s="218" t="s">
        <v>551</v>
      </c>
      <c r="C3181" s="219" t="s">
        <v>2</v>
      </c>
      <c r="D3181" s="229"/>
      <c r="E3181" s="229"/>
      <c r="F3181" s="492">
        <v>1000</v>
      </c>
      <c r="G3181" s="221" t="s">
        <v>465</v>
      </c>
    </row>
    <row r="3182" spans="2:7" x14ac:dyDescent="0.2">
      <c r="B3182" s="152" t="s">
        <v>569</v>
      </c>
      <c r="C3182" s="219" t="s">
        <v>2</v>
      </c>
      <c r="D3182" s="229"/>
      <c r="E3182" s="229"/>
      <c r="F3182" s="492">
        <v>3700</v>
      </c>
      <c r="G3182" s="286" t="s">
        <v>465</v>
      </c>
    </row>
    <row r="3183" spans="2:7" x14ac:dyDescent="0.2">
      <c r="B3183" s="152" t="s">
        <v>552</v>
      </c>
      <c r="C3183" s="219" t="s">
        <v>2</v>
      </c>
      <c r="D3183" s="229"/>
      <c r="E3183" s="229"/>
      <c r="F3183" s="492">
        <v>1800</v>
      </c>
      <c r="G3183" s="286" t="s">
        <v>465</v>
      </c>
    </row>
    <row r="3184" spans="2:7" x14ac:dyDescent="0.2">
      <c r="B3184" s="180"/>
      <c r="C3184" s="185"/>
      <c r="D3184" s="181"/>
      <c r="E3184" s="186"/>
      <c r="F3184" s="222"/>
      <c r="G3184" s="230"/>
    </row>
    <row r="3185" spans="2:7" x14ac:dyDescent="0.2">
      <c r="B3185" s="157"/>
      <c r="C3185" s="158"/>
      <c r="D3185" s="156"/>
      <c r="E3185" s="156"/>
      <c r="F3185" s="159" t="s">
        <v>452</v>
      </c>
      <c r="G3185" s="183" t="s">
        <v>465</v>
      </c>
    </row>
    <row r="3186" spans="2:7" x14ac:dyDescent="0.2">
      <c r="B3186" s="161" t="s">
        <v>453</v>
      </c>
      <c r="C3186" s="158"/>
      <c r="D3186" s="156"/>
      <c r="E3186" s="156"/>
      <c r="F3186" s="159"/>
      <c r="G3186" s="160"/>
    </row>
    <row r="3187" spans="2:7" x14ac:dyDescent="0.2">
      <c r="B3187" s="218" t="s">
        <v>626</v>
      </c>
      <c r="C3187" s="219" t="s">
        <v>286</v>
      </c>
      <c r="D3187" s="229"/>
      <c r="E3187" s="229"/>
      <c r="F3187" s="470">
        <v>112200</v>
      </c>
      <c r="G3187" s="221" t="s">
        <v>465</v>
      </c>
    </row>
    <row r="3188" spans="2:7" x14ac:dyDescent="0.2">
      <c r="B3188" s="152" t="s">
        <v>642</v>
      </c>
      <c r="C3188" s="219" t="s">
        <v>286</v>
      </c>
      <c r="D3188" s="229"/>
      <c r="E3188" s="229"/>
      <c r="F3188" s="470">
        <v>17360</v>
      </c>
      <c r="G3188" s="286" t="s">
        <v>465</v>
      </c>
    </row>
    <row r="3189" spans="2:7" x14ac:dyDescent="0.2">
      <c r="B3189" s="180"/>
      <c r="C3189" s="185"/>
      <c r="D3189" s="181"/>
      <c r="E3189" s="186"/>
      <c r="F3189" s="222"/>
      <c r="G3189" s="230"/>
    </row>
    <row r="3190" spans="2:7" x14ac:dyDescent="0.2">
      <c r="B3190" s="157"/>
      <c r="C3190" s="158"/>
      <c r="D3190" s="156"/>
      <c r="E3190" s="156"/>
      <c r="F3190" s="159" t="s">
        <v>459</v>
      </c>
      <c r="G3190" s="183" t="s">
        <v>465</v>
      </c>
    </row>
    <row r="3191" spans="2:7" x14ac:dyDescent="0.2">
      <c r="B3191" s="157"/>
      <c r="C3191" s="158"/>
      <c r="D3191" s="156"/>
      <c r="E3191" s="156"/>
      <c r="F3191" s="159"/>
      <c r="G3191" s="160"/>
    </row>
    <row r="3192" spans="2:7" ht="17" thickBot="1" x14ac:dyDescent="0.25">
      <c r="B3192" s="206"/>
      <c r="C3192" s="207"/>
      <c r="D3192" s="208"/>
      <c r="E3192" s="209" t="s">
        <v>460</v>
      </c>
      <c r="F3192" s="210">
        <v>3699307.8</v>
      </c>
      <c r="G3192" s="211">
        <v>11733</v>
      </c>
    </row>
    <row r="3193" spans="2:7" ht="17" thickTop="1" x14ac:dyDescent="0.2">
      <c r="B3193" s="212"/>
      <c r="C3193" s="213"/>
      <c r="D3193" s="212"/>
      <c r="E3193" s="212"/>
      <c r="F3193" s="212"/>
      <c r="G3193" s="212"/>
    </row>
    <row r="3194" spans="2:7" ht="17" thickBot="1" x14ac:dyDescent="0.25">
      <c r="B3194" s="212"/>
      <c r="C3194" s="213"/>
      <c r="D3194" s="212"/>
      <c r="E3194" s="212"/>
      <c r="F3194" s="212"/>
      <c r="G3194" s="212"/>
    </row>
    <row r="3195" spans="2:7" ht="17" thickTop="1" x14ac:dyDescent="0.2">
      <c r="B3195" s="537" t="s">
        <v>169</v>
      </c>
      <c r="C3195" s="538"/>
      <c r="D3195" s="538"/>
      <c r="E3195" s="538"/>
      <c r="F3195" s="148"/>
      <c r="G3195" s="149" t="s">
        <v>608</v>
      </c>
    </row>
    <row r="3196" spans="2:7" x14ac:dyDescent="0.2">
      <c r="B3196" s="539"/>
      <c r="C3196" s="540"/>
      <c r="D3196" s="540"/>
      <c r="E3196" s="540"/>
      <c r="F3196" s="150"/>
      <c r="G3196" s="151" t="s">
        <v>477</v>
      </c>
    </row>
    <row r="3197" spans="2:7" x14ac:dyDescent="0.2">
      <c r="B3197" s="152" t="s">
        <v>1</v>
      </c>
      <c r="C3197" s="153" t="s">
        <v>2</v>
      </c>
      <c r="D3197" s="153" t="s">
        <v>3</v>
      </c>
      <c r="E3197" s="153" t="s">
        <v>441</v>
      </c>
      <c r="F3197" s="154" t="s">
        <v>442</v>
      </c>
      <c r="G3197" s="155" t="s">
        <v>443</v>
      </c>
    </row>
    <row r="3198" spans="2:7" x14ac:dyDescent="0.2">
      <c r="B3198" s="157"/>
      <c r="C3198" s="158"/>
      <c r="D3198" s="156"/>
      <c r="E3198" s="156"/>
      <c r="F3198" s="159"/>
      <c r="G3198" s="160"/>
    </row>
    <row r="3199" spans="2:7" x14ac:dyDescent="0.2">
      <c r="B3199" s="161" t="s">
        <v>444</v>
      </c>
      <c r="C3199" s="158"/>
      <c r="D3199" s="156"/>
      <c r="E3199" s="156"/>
      <c r="F3199" s="159"/>
      <c r="G3199" s="160"/>
    </row>
    <row r="3200" spans="2:7" x14ac:dyDescent="0.2">
      <c r="B3200" s="236"/>
      <c r="C3200" s="185"/>
      <c r="D3200" s="181"/>
      <c r="E3200" s="186"/>
      <c r="F3200" s="222"/>
      <c r="G3200" s="237"/>
    </row>
    <row r="3201" spans="2:7" x14ac:dyDescent="0.2">
      <c r="B3201" s="157"/>
      <c r="C3201" s="158"/>
      <c r="D3201" s="156"/>
      <c r="E3201" s="156"/>
      <c r="F3201" s="159" t="s">
        <v>446</v>
      </c>
      <c r="G3201" s="183" t="s">
        <v>465</v>
      </c>
    </row>
    <row r="3202" spans="2:7" x14ac:dyDescent="0.2">
      <c r="B3202" s="379" t="s">
        <v>447</v>
      </c>
      <c r="C3202" s="158" t="s">
        <v>588</v>
      </c>
      <c r="D3202" s="158" t="s">
        <v>589</v>
      </c>
      <c r="E3202" s="158" t="s">
        <v>590</v>
      </c>
      <c r="F3202" s="380" t="s">
        <v>591</v>
      </c>
      <c r="G3202" s="381" t="s">
        <v>592</v>
      </c>
    </row>
    <row r="3203" spans="2:7" x14ac:dyDescent="0.2">
      <c r="B3203" s="471" t="s">
        <v>643</v>
      </c>
      <c r="C3203" s="486">
        <v>496859</v>
      </c>
      <c r="D3203" s="181">
        <v>1.47</v>
      </c>
      <c r="E3203" s="396">
        <v>730381</v>
      </c>
      <c r="F3203" s="493">
        <v>165</v>
      </c>
      <c r="G3203" s="489">
        <v>4427</v>
      </c>
    </row>
    <row r="3204" spans="2:7" x14ac:dyDescent="0.2">
      <c r="B3204" s="475" t="s">
        <v>524</v>
      </c>
      <c r="C3204" s="486">
        <v>107474</v>
      </c>
      <c r="D3204" s="415">
        <v>1.47</v>
      </c>
      <c r="E3204" s="464">
        <v>157986</v>
      </c>
      <c r="F3204" s="494">
        <v>165</v>
      </c>
      <c r="G3204" s="489">
        <v>957</v>
      </c>
    </row>
    <row r="3205" spans="2:7" x14ac:dyDescent="0.2">
      <c r="B3205" s="475" t="s">
        <v>525</v>
      </c>
      <c r="C3205" s="486">
        <v>272540</v>
      </c>
      <c r="D3205" s="415">
        <v>1.47</v>
      </c>
      <c r="E3205" s="363">
        <v>400633</v>
      </c>
      <c r="F3205" s="491">
        <v>82.5</v>
      </c>
      <c r="G3205" s="489">
        <v>4856</v>
      </c>
    </row>
    <row r="3206" spans="2:7" x14ac:dyDescent="0.2">
      <c r="B3206" s="180"/>
      <c r="C3206" s="185"/>
      <c r="D3206" s="181"/>
      <c r="E3206" s="170"/>
      <c r="F3206" s="222"/>
      <c r="G3206" s="237"/>
    </row>
    <row r="3207" spans="2:7" x14ac:dyDescent="0.2">
      <c r="B3207" s="157"/>
      <c r="C3207" s="158"/>
      <c r="D3207" s="156"/>
      <c r="E3207" s="156"/>
      <c r="F3207" s="159" t="s">
        <v>449</v>
      </c>
      <c r="G3207" s="183">
        <v>10240.200000000001</v>
      </c>
    </row>
    <row r="3208" spans="2:7" x14ac:dyDescent="0.2">
      <c r="B3208" s="161" t="s">
        <v>450</v>
      </c>
      <c r="C3208" s="158"/>
      <c r="D3208" s="156"/>
      <c r="E3208" s="156"/>
      <c r="F3208" s="159"/>
      <c r="G3208" s="160"/>
    </row>
    <row r="3209" spans="2:7" x14ac:dyDescent="0.2">
      <c r="B3209" s="218" t="s">
        <v>551</v>
      </c>
      <c r="C3209" s="219" t="s">
        <v>2</v>
      </c>
      <c r="D3209" s="229"/>
      <c r="E3209" s="229"/>
      <c r="F3209" s="492">
        <v>1000</v>
      </c>
      <c r="G3209" s="221" t="s">
        <v>465</v>
      </c>
    </row>
    <row r="3210" spans="2:7" x14ac:dyDescent="0.2">
      <c r="B3210" s="152" t="s">
        <v>569</v>
      </c>
      <c r="C3210" s="219" t="s">
        <v>2</v>
      </c>
      <c r="D3210" s="229"/>
      <c r="E3210" s="229"/>
      <c r="F3210" s="492">
        <v>3700</v>
      </c>
      <c r="G3210" s="286" t="s">
        <v>465</v>
      </c>
    </row>
    <row r="3211" spans="2:7" x14ac:dyDescent="0.2">
      <c r="B3211" s="152" t="s">
        <v>552</v>
      </c>
      <c r="C3211" s="219" t="s">
        <v>2</v>
      </c>
      <c r="D3211" s="229"/>
      <c r="E3211" s="229"/>
      <c r="F3211" s="492">
        <v>1800</v>
      </c>
      <c r="G3211" s="286" t="s">
        <v>465</v>
      </c>
    </row>
    <row r="3212" spans="2:7" x14ac:dyDescent="0.2">
      <c r="B3212" s="180"/>
      <c r="C3212" s="185"/>
      <c r="D3212" s="181"/>
      <c r="E3212" s="186"/>
      <c r="F3212" s="222"/>
      <c r="G3212" s="230"/>
    </row>
    <row r="3213" spans="2:7" x14ac:dyDescent="0.2">
      <c r="B3213" s="157"/>
      <c r="C3213" s="158"/>
      <c r="D3213" s="156"/>
      <c r="E3213" s="156"/>
      <c r="F3213" s="159" t="s">
        <v>452</v>
      </c>
      <c r="G3213" s="183" t="s">
        <v>465</v>
      </c>
    </row>
    <row r="3214" spans="2:7" x14ac:dyDescent="0.2">
      <c r="B3214" s="161" t="s">
        <v>453</v>
      </c>
      <c r="C3214" s="158"/>
      <c r="D3214" s="156"/>
      <c r="E3214" s="156"/>
      <c r="F3214" s="159"/>
      <c r="G3214" s="160"/>
    </row>
    <row r="3215" spans="2:7" x14ac:dyDescent="0.2">
      <c r="B3215" s="218" t="s">
        <v>626</v>
      </c>
      <c r="C3215" s="219" t="s">
        <v>286</v>
      </c>
      <c r="D3215" s="229"/>
      <c r="E3215" s="229"/>
      <c r="F3215" s="470">
        <v>112200</v>
      </c>
      <c r="G3215" s="221" t="s">
        <v>465</v>
      </c>
    </row>
    <row r="3216" spans="2:7" x14ac:dyDescent="0.2">
      <c r="B3216" s="152" t="s">
        <v>642</v>
      </c>
      <c r="C3216" s="219" t="s">
        <v>286</v>
      </c>
      <c r="D3216" s="229"/>
      <c r="E3216" s="229"/>
      <c r="F3216" s="470">
        <v>17360</v>
      </c>
      <c r="G3216" s="286" t="s">
        <v>465</v>
      </c>
    </row>
    <row r="3217" spans="2:7" x14ac:dyDescent="0.2">
      <c r="B3217" s="180"/>
      <c r="C3217" s="185"/>
      <c r="D3217" s="181"/>
      <c r="E3217" s="186"/>
      <c r="F3217" s="222"/>
      <c r="G3217" s="230"/>
    </row>
    <row r="3218" spans="2:7" x14ac:dyDescent="0.2">
      <c r="B3218" s="157"/>
      <c r="C3218" s="158"/>
      <c r="D3218" s="156"/>
      <c r="E3218" s="156"/>
      <c r="F3218" s="159" t="s">
        <v>459</v>
      </c>
      <c r="G3218" s="183" t="s">
        <v>465</v>
      </c>
    </row>
    <row r="3219" spans="2:7" x14ac:dyDescent="0.2">
      <c r="B3219" s="157"/>
      <c r="C3219" s="158"/>
      <c r="D3219" s="156"/>
      <c r="E3219" s="156"/>
      <c r="F3219" s="159"/>
      <c r="G3219" s="160"/>
    </row>
    <row r="3220" spans="2:7" ht="17" thickBot="1" x14ac:dyDescent="0.25">
      <c r="B3220" s="206"/>
      <c r="C3220" s="207"/>
      <c r="D3220" s="208"/>
      <c r="E3220" s="209" t="s">
        <v>460</v>
      </c>
      <c r="F3220" s="210">
        <v>3375731.4</v>
      </c>
      <c r="G3220" s="211">
        <v>10240</v>
      </c>
    </row>
    <row r="3221" spans="2:7" ht="17" thickTop="1" x14ac:dyDescent="0.2">
      <c r="B3221" s="212"/>
      <c r="C3221" s="213"/>
      <c r="D3221" s="212"/>
      <c r="E3221" s="212"/>
      <c r="F3221" s="212"/>
      <c r="G3221" s="212"/>
    </row>
    <row r="3222" spans="2:7" ht="17" thickBot="1" x14ac:dyDescent="0.25">
      <c r="B3222" s="212"/>
      <c r="C3222" s="213"/>
      <c r="D3222" s="212"/>
      <c r="E3222" s="212"/>
      <c r="F3222" s="212"/>
      <c r="G3222" s="212"/>
    </row>
    <row r="3223" spans="2:7" ht="17" thickTop="1" x14ac:dyDescent="0.2">
      <c r="B3223" s="537" t="s">
        <v>170</v>
      </c>
      <c r="C3223" s="538"/>
      <c r="D3223" s="538"/>
      <c r="E3223" s="538"/>
      <c r="F3223" s="148"/>
      <c r="G3223" s="149" t="s">
        <v>608</v>
      </c>
    </row>
    <row r="3224" spans="2:7" x14ac:dyDescent="0.2">
      <c r="B3224" s="539"/>
      <c r="C3224" s="540"/>
      <c r="D3224" s="540"/>
      <c r="E3224" s="540"/>
      <c r="F3224" s="150"/>
      <c r="G3224" s="151" t="s">
        <v>477</v>
      </c>
    </row>
    <row r="3225" spans="2:7" x14ac:dyDescent="0.2">
      <c r="B3225" s="152" t="s">
        <v>1</v>
      </c>
      <c r="C3225" s="153" t="s">
        <v>2</v>
      </c>
      <c r="D3225" s="153" t="s">
        <v>3</v>
      </c>
      <c r="E3225" s="153" t="s">
        <v>441</v>
      </c>
      <c r="F3225" s="154" t="s">
        <v>442</v>
      </c>
      <c r="G3225" s="155" t="s">
        <v>443</v>
      </c>
    </row>
    <row r="3226" spans="2:7" x14ac:dyDescent="0.2">
      <c r="B3226" s="157"/>
      <c r="C3226" s="158"/>
      <c r="D3226" s="156"/>
      <c r="E3226" s="156"/>
      <c r="F3226" s="159"/>
      <c r="G3226" s="160"/>
    </row>
    <row r="3227" spans="2:7" x14ac:dyDescent="0.2">
      <c r="B3227" s="161" t="s">
        <v>444</v>
      </c>
      <c r="C3227" s="158"/>
      <c r="D3227" s="156"/>
      <c r="E3227" s="156"/>
      <c r="F3227" s="159"/>
      <c r="G3227" s="160"/>
    </row>
    <row r="3228" spans="2:7" x14ac:dyDescent="0.2">
      <c r="B3228" s="236"/>
      <c r="C3228" s="185"/>
      <c r="D3228" s="181"/>
      <c r="E3228" s="186"/>
      <c r="F3228" s="222"/>
      <c r="G3228" s="237"/>
    </row>
    <row r="3229" spans="2:7" x14ac:dyDescent="0.2">
      <c r="B3229" s="157"/>
      <c r="C3229" s="158"/>
      <c r="D3229" s="156"/>
      <c r="E3229" s="156"/>
      <c r="F3229" s="159" t="s">
        <v>446</v>
      </c>
      <c r="G3229" s="183" t="s">
        <v>465</v>
      </c>
    </row>
    <row r="3230" spans="2:7" x14ac:dyDescent="0.2">
      <c r="B3230" s="379" t="s">
        <v>447</v>
      </c>
      <c r="C3230" s="158" t="s">
        <v>588</v>
      </c>
      <c r="D3230" s="158" t="s">
        <v>589</v>
      </c>
      <c r="E3230" s="158" t="s">
        <v>590</v>
      </c>
      <c r="F3230" s="380" t="s">
        <v>591</v>
      </c>
      <c r="G3230" s="381" t="s">
        <v>592</v>
      </c>
    </row>
    <row r="3231" spans="2:7" x14ac:dyDescent="0.2">
      <c r="B3231" s="471" t="s">
        <v>644</v>
      </c>
      <c r="C3231" s="486">
        <v>691366</v>
      </c>
      <c r="D3231" s="181">
        <v>1.47</v>
      </c>
      <c r="E3231" s="396">
        <v>1016308</v>
      </c>
      <c r="F3231" s="493">
        <v>231</v>
      </c>
      <c r="G3231" s="489">
        <v>4400</v>
      </c>
    </row>
    <row r="3232" spans="2:7" x14ac:dyDescent="0.2">
      <c r="B3232" s="475" t="s">
        <v>524</v>
      </c>
      <c r="C3232" s="486">
        <v>107474</v>
      </c>
      <c r="D3232" s="415">
        <v>1.47</v>
      </c>
      <c r="E3232" s="464">
        <v>157986</v>
      </c>
      <c r="F3232" s="494">
        <v>231</v>
      </c>
      <c r="G3232" s="489">
        <v>684</v>
      </c>
    </row>
    <row r="3233" spans="2:7" x14ac:dyDescent="0.2">
      <c r="B3233" s="475" t="s">
        <v>525</v>
      </c>
      <c r="C3233" s="486">
        <v>272540</v>
      </c>
      <c r="D3233" s="415">
        <v>1.47</v>
      </c>
      <c r="E3233" s="363">
        <v>400633</v>
      </c>
      <c r="F3233" s="491">
        <v>115.5</v>
      </c>
      <c r="G3233" s="489">
        <v>3469</v>
      </c>
    </row>
    <row r="3234" spans="2:7" x14ac:dyDescent="0.2">
      <c r="B3234" s="180"/>
      <c r="C3234" s="185"/>
      <c r="D3234" s="181"/>
      <c r="E3234" s="170"/>
      <c r="F3234" s="222"/>
      <c r="G3234" s="237"/>
    </row>
    <row r="3235" spans="2:7" x14ac:dyDescent="0.2">
      <c r="B3235" s="157"/>
      <c r="C3235" s="158"/>
      <c r="D3235" s="156"/>
      <c r="E3235" s="156"/>
      <c r="F3235" s="159" t="s">
        <v>449</v>
      </c>
      <c r="G3235" s="183">
        <v>8552.2099999999991</v>
      </c>
    </row>
    <row r="3236" spans="2:7" x14ac:dyDescent="0.2">
      <c r="B3236" s="161" t="s">
        <v>450</v>
      </c>
      <c r="C3236" s="158"/>
      <c r="D3236" s="156"/>
      <c r="E3236" s="156"/>
      <c r="F3236" s="159"/>
      <c r="G3236" s="160"/>
    </row>
    <row r="3237" spans="2:7" x14ac:dyDescent="0.2">
      <c r="B3237" s="218" t="s">
        <v>551</v>
      </c>
      <c r="C3237" s="219" t="s">
        <v>2</v>
      </c>
      <c r="D3237" s="229"/>
      <c r="E3237" s="229"/>
      <c r="F3237" s="492">
        <v>1000</v>
      </c>
      <c r="G3237" s="221" t="s">
        <v>465</v>
      </c>
    </row>
    <row r="3238" spans="2:7" x14ac:dyDescent="0.2">
      <c r="B3238" s="152" t="s">
        <v>569</v>
      </c>
      <c r="C3238" s="219" t="s">
        <v>2</v>
      </c>
      <c r="D3238" s="229"/>
      <c r="E3238" s="229"/>
      <c r="F3238" s="492">
        <v>3700</v>
      </c>
      <c r="G3238" s="286" t="s">
        <v>465</v>
      </c>
    </row>
    <row r="3239" spans="2:7" x14ac:dyDescent="0.2">
      <c r="B3239" s="152" t="s">
        <v>552</v>
      </c>
      <c r="C3239" s="219" t="s">
        <v>2</v>
      </c>
      <c r="D3239" s="229"/>
      <c r="E3239" s="229"/>
      <c r="F3239" s="492">
        <v>1800</v>
      </c>
      <c r="G3239" s="286" t="s">
        <v>465</v>
      </c>
    </row>
    <row r="3240" spans="2:7" x14ac:dyDescent="0.2">
      <c r="B3240" s="180"/>
      <c r="C3240" s="185"/>
      <c r="D3240" s="181"/>
      <c r="E3240" s="186"/>
      <c r="F3240" s="222"/>
      <c r="G3240" s="230"/>
    </row>
    <row r="3241" spans="2:7" x14ac:dyDescent="0.2">
      <c r="B3241" s="157"/>
      <c r="C3241" s="158"/>
      <c r="D3241" s="156"/>
      <c r="E3241" s="156"/>
      <c r="F3241" s="159" t="s">
        <v>452</v>
      </c>
      <c r="G3241" s="183" t="s">
        <v>465</v>
      </c>
    </row>
    <row r="3242" spans="2:7" x14ac:dyDescent="0.2">
      <c r="B3242" s="161" t="s">
        <v>453</v>
      </c>
      <c r="C3242" s="158"/>
      <c r="D3242" s="156"/>
      <c r="E3242" s="156"/>
      <c r="F3242" s="159"/>
      <c r="G3242" s="160"/>
    </row>
    <row r="3243" spans="2:7" x14ac:dyDescent="0.2">
      <c r="B3243" s="218" t="s">
        <v>626</v>
      </c>
      <c r="C3243" s="219" t="s">
        <v>286</v>
      </c>
      <c r="D3243" s="229"/>
      <c r="E3243" s="229"/>
      <c r="F3243" s="470">
        <v>112200</v>
      </c>
      <c r="G3243" s="221" t="s">
        <v>465</v>
      </c>
    </row>
    <row r="3244" spans="2:7" x14ac:dyDescent="0.2">
      <c r="B3244" s="152" t="s">
        <v>642</v>
      </c>
      <c r="C3244" s="219" t="s">
        <v>286</v>
      </c>
      <c r="D3244" s="229"/>
      <c r="E3244" s="229"/>
      <c r="F3244" s="470">
        <v>17360</v>
      </c>
      <c r="G3244" s="286" t="s">
        <v>465</v>
      </c>
    </row>
    <row r="3245" spans="2:7" x14ac:dyDescent="0.2">
      <c r="B3245" s="180"/>
      <c r="C3245" s="185"/>
      <c r="D3245" s="181"/>
      <c r="E3245" s="186"/>
      <c r="F3245" s="222"/>
      <c r="G3245" s="230"/>
    </row>
    <row r="3246" spans="2:7" x14ac:dyDescent="0.2">
      <c r="B3246" s="157"/>
      <c r="C3246" s="158"/>
      <c r="D3246" s="156"/>
      <c r="E3246" s="156"/>
      <c r="F3246" s="159" t="s">
        <v>459</v>
      </c>
      <c r="G3246" s="183" t="s">
        <v>465</v>
      </c>
    </row>
    <row r="3247" spans="2:7" x14ac:dyDescent="0.2">
      <c r="B3247" s="157"/>
      <c r="C3247" s="158"/>
      <c r="D3247" s="156"/>
      <c r="E3247" s="156"/>
      <c r="F3247" s="159"/>
      <c r="G3247" s="160"/>
    </row>
    <row r="3248" spans="2:7" ht="17" thickBot="1" x14ac:dyDescent="0.25">
      <c r="B3248" s="206"/>
      <c r="C3248" s="207"/>
      <c r="D3248" s="208"/>
      <c r="E3248" s="209" t="s">
        <v>460</v>
      </c>
      <c r="F3248" s="210">
        <v>3012969.98</v>
      </c>
      <c r="G3248" s="211">
        <v>8552</v>
      </c>
    </row>
    <row r="3249" spans="2:7" ht="17" thickTop="1" x14ac:dyDescent="0.2">
      <c r="B3249" s="212"/>
      <c r="C3249" s="213"/>
      <c r="D3249" s="212"/>
      <c r="E3249" s="212"/>
      <c r="F3249" s="212"/>
      <c r="G3249" s="212"/>
    </row>
    <row r="3250" spans="2:7" ht="17" thickBot="1" x14ac:dyDescent="0.25">
      <c r="B3250" s="212"/>
      <c r="C3250" s="213"/>
      <c r="D3250" s="212"/>
      <c r="E3250" s="212"/>
      <c r="F3250" s="212"/>
      <c r="G3250" s="212"/>
    </row>
    <row r="3251" spans="2:7" ht="17" thickTop="1" x14ac:dyDescent="0.2">
      <c r="B3251" s="537" t="s">
        <v>171</v>
      </c>
      <c r="C3251" s="538"/>
      <c r="D3251" s="538"/>
      <c r="E3251" s="538"/>
      <c r="F3251" s="148"/>
      <c r="G3251" s="149" t="s">
        <v>608</v>
      </c>
    </row>
    <row r="3252" spans="2:7" x14ac:dyDescent="0.2">
      <c r="B3252" s="539"/>
      <c r="C3252" s="540"/>
      <c r="D3252" s="540"/>
      <c r="E3252" s="540"/>
      <c r="F3252" s="150"/>
      <c r="G3252" s="151" t="s">
        <v>477</v>
      </c>
    </row>
    <row r="3253" spans="2:7" x14ac:dyDescent="0.2">
      <c r="B3253" s="152" t="s">
        <v>1</v>
      </c>
      <c r="C3253" s="153" t="s">
        <v>2</v>
      </c>
      <c r="D3253" s="153" t="s">
        <v>3</v>
      </c>
      <c r="E3253" s="153" t="s">
        <v>441</v>
      </c>
      <c r="F3253" s="154" t="s">
        <v>442</v>
      </c>
      <c r="G3253" s="155" t="s">
        <v>443</v>
      </c>
    </row>
    <row r="3254" spans="2:7" x14ac:dyDescent="0.2">
      <c r="B3254" s="157"/>
      <c r="C3254" s="158"/>
      <c r="D3254" s="156"/>
      <c r="E3254" s="156"/>
      <c r="F3254" s="159"/>
      <c r="G3254" s="160"/>
    </row>
    <row r="3255" spans="2:7" x14ac:dyDescent="0.2">
      <c r="B3255" s="161" t="s">
        <v>444</v>
      </c>
      <c r="C3255" s="158"/>
      <c r="D3255" s="156"/>
      <c r="E3255" s="156"/>
      <c r="F3255" s="159"/>
      <c r="G3255" s="160"/>
    </row>
    <row r="3256" spans="2:7" x14ac:dyDescent="0.2">
      <c r="B3256" s="236"/>
      <c r="C3256" s="185"/>
      <c r="D3256" s="181"/>
      <c r="E3256" s="186"/>
      <c r="F3256" s="222"/>
      <c r="G3256" s="237"/>
    </row>
    <row r="3257" spans="2:7" x14ac:dyDescent="0.2">
      <c r="B3257" s="157"/>
      <c r="C3257" s="158"/>
      <c r="D3257" s="156"/>
      <c r="E3257" s="156"/>
      <c r="F3257" s="159" t="s">
        <v>446</v>
      </c>
      <c r="G3257" s="183" t="s">
        <v>465</v>
      </c>
    </row>
    <row r="3258" spans="2:7" x14ac:dyDescent="0.2">
      <c r="B3258" s="379" t="s">
        <v>447</v>
      </c>
      <c r="C3258" s="158" t="s">
        <v>588</v>
      </c>
      <c r="D3258" s="158" t="s">
        <v>589</v>
      </c>
      <c r="E3258" s="158" t="s">
        <v>590</v>
      </c>
      <c r="F3258" s="380" t="s">
        <v>591</v>
      </c>
      <c r="G3258" s="381" t="s">
        <v>592</v>
      </c>
    </row>
    <row r="3259" spans="2:7" x14ac:dyDescent="0.2">
      <c r="B3259" s="471" t="s">
        <v>645</v>
      </c>
      <c r="C3259" s="486">
        <v>907136</v>
      </c>
      <c r="D3259" s="181">
        <v>1.47</v>
      </c>
      <c r="E3259" s="396">
        <v>1333489</v>
      </c>
      <c r="F3259" s="487">
        <v>297</v>
      </c>
      <c r="G3259" s="489">
        <v>4490</v>
      </c>
    </row>
    <row r="3260" spans="2:7" x14ac:dyDescent="0.2">
      <c r="B3260" s="475" t="s">
        <v>524</v>
      </c>
      <c r="C3260" s="486">
        <v>107474</v>
      </c>
      <c r="D3260" s="415">
        <v>1.47</v>
      </c>
      <c r="E3260" s="464">
        <v>157986</v>
      </c>
      <c r="F3260" s="490">
        <v>297</v>
      </c>
      <c r="G3260" s="489">
        <v>532</v>
      </c>
    </row>
    <row r="3261" spans="2:7" x14ac:dyDescent="0.2">
      <c r="B3261" s="475" t="s">
        <v>525</v>
      </c>
      <c r="C3261" s="486">
        <v>272540</v>
      </c>
      <c r="D3261" s="415">
        <v>1.47</v>
      </c>
      <c r="E3261" s="363">
        <v>400633</v>
      </c>
      <c r="F3261" s="491">
        <v>148.5</v>
      </c>
      <c r="G3261" s="489">
        <v>2698</v>
      </c>
    </row>
    <row r="3262" spans="2:7" x14ac:dyDescent="0.2">
      <c r="B3262" s="180"/>
      <c r="C3262" s="185"/>
      <c r="D3262" s="181"/>
      <c r="E3262" s="170"/>
      <c r="F3262" s="222"/>
      <c r="G3262" s="237"/>
    </row>
    <row r="3263" spans="2:7" x14ac:dyDescent="0.2">
      <c r="B3263" s="157"/>
      <c r="C3263" s="158"/>
      <c r="D3263" s="156"/>
      <c r="E3263" s="156"/>
      <c r="F3263" s="159" t="s">
        <v>449</v>
      </c>
      <c r="G3263" s="183">
        <v>7719.67</v>
      </c>
    </row>
    <row r="3264" spans="2:7" x14ac:dyDescent="0.2">
      <c r="B3264" s="161" t="s">
        <v>450</v>
      </c>
      <c r="C3264" s="158"/>
      <c r="D3264" s="156"/>
      <c r="E3264" s="156"/>
      <c r="F3264" s="159"/>
      <c r="G3264" s="160"/>
    </row>
    <row r="3265" spans="2:7" x14ac:dyDescent="0.2">
      <c r="B3265" s="218" t="s">
        <v>551</v>
      </c>
      <c r="C3265" s="219" t="s">
        <v>2</v>
      </c>
      <c r="D3265" s="229"/>
      <c r="E3265" s="229"/>
      <c r="F3265" s="492">
        <v>1000</v>
      </c>
      <c r="G3265" s="221" t="s">
        <v>465</v>
      </c>
    </row>
    <row r="3266" spans="2:7" x14ac:dyDescent="0.2">
      <c r="B3266" s="152" t="s">
        <v>569</v>
      </c>
      <c r="C3266" s="219" t="s">
        <v>2</v>
      </c>
      <c r="D3266" s="229"/>
      <c r="E3266" s="229"/>
      <c r="F3266" s="492">
        <v>3700</v>
      </c>
      <c r="G3266" s="286" t="s">
        <v>465</v>
      </c>
    </row>
    <row r="3267" spans="2:7" x14ac:dyDescent="0.2">
      <c r="B3267" s="152" t="s">
        <v>552</v>
      </c>
      <c r="C3267" s="219" t="s">
        <v>2</v>
      </c>
      <c r="D3267" s="229"/>
      <c r="E3267" s="229"/>
      <c r="F3267" s="492">
        <v>1800</v>
      </c>
      <c r="G3267" s="286" t="s">
        <v>465</v>
      </c>
    </row>
    <row r="3268" spans="2:7" x14ac:dyDescent="0.2">
      <c r="B3268" s="180"/>
      <c r="C3268" s="185"/>
      <c r="D3268" s="181"/>
      <c r="E3268" s="186"/>
      <c r="F3268" s="222"/>
      <c r="G3268" s="230"/>
    </row>
    <row r="3269" spans="2:7" x14ac:dyDescent="0.2">
      <c r="B3269" s="157"/>
      <c r="C3269" s="158"/>
      <c r="D3269" s="156"/>
      <c r="E3269" s="156"/>
      <c r="F3269" s="159" t="s">
        <v>452</v>
      </c>
      <c r="G3269" s="183" t="s">
        <v>465</v>
      </c>
    </row>
    <row r="3270" spans="2:7" x14ac:dyDescent="0.2">
      <c r="B3270" s="161" t="s">
        <v>453</v>
      </c>
      <c r="C3270" s="158"/>
      <c r="D3270" s="156"/>
      <c r="E3270" s="156"/>
      <c r="F3270" s="159"/>
      <c r="G3270" s="160"/>
    </row>
    <row r="3271" spans="2:7" x14ac:dyDescent="0.2">
      <c r="B3271" s="218" t="s">
        <v>626</v>
      </c>
      <c r="C3271" s="219" t="s">
        <v>286</v>
      </c>
      <c r="D3271" s="229"/>
      <c r="E3271" s="229"/>
      <c r="F3271" s="470">
        <v>112200</v>
      </c>
      <c r="G3271" s="221" t="s">
        <v>465</v>
      </c>
    </row>
    <row r="3272" spans="2:7" x14ac:dyDescent="0.2">
      <c r="B3272" s="152" t="s">
        <v>642</v>
      </c>
      <c r="C3272" s="219" t="s">
        <v>286</v>
      </c>
      <c r="D3272" s="229"/>
      <c r="E3272" s="229"/>
      <c r="F3272" s="470">
        <v>17360</v>
      </c>
      <c r="G3272" s="286" t="s">
        <v>465</v>
      </c>
    </row>
    <row r="3273" spans="2:7" x14ac:dyDescent="0.2">
      <c r="B3273" s="180"/>
      <c r="C3273" s="185"/>
      <c r="D3273" s="181"/>
      <c r="E3273" s="186"/>
      <c r="F3273" s="222"/>
      <c r="G3273" s="230"/>
    </row>
    <row r="3274" spans="2:7" x14ac:dyDescent="0.2">
      <c r="B3274" s="157"/>
      <c r="C3274" s="158"/>
      <c r="D3274" s="156"/>
      <c r="E3274" s="156"/>
      <c r="F3274" s="159" t="s">
        <v>459</v>
      </c>
      <c r="G3274" s="183" t="s">
        <v>465</v>
      </c>
    </row>
    <row r="3275" spans="2:7" x14ac:dyDescent="0.2">
      <c r="B3275" s="157"/>
      <c r="C3275" s="158"/>
      <c r="D3275" s="156"/>
      <c r="E3275" s="156"/>
      <c r="F3275" s="159"/>
      <c r="G3275" s="160"/>
    </row>
    <row r="3276" spans="2:7" ht="17" thickBot="1" x14ac:dyDescent="0.25">
      <c r="B3276" s="206"/>
      <c r="C3276" s="207"/>
      <c r="D3276" s="208"/>
      <c r="E3276" s="209" t="s">
        <v>460</v>
      </c>
      <c r="F3276" s="210">
        <v>2442101.4700000002</v>
      </c>
      <c r="G3276" s="211">
        <v>7720</v>
      </c>
    </row>
    <row r="3277" spans="2:7" ht="17" thickTop="1" x14ac:dyDescent="0.2">
      <c r="B3277" s="212"/>
      <c r="C3277" s="213"/>
      <c r="D3277" s="212"/>
      <c r="E3277" s="212"/>
      <c r="F3277" s="212"/>
      <c r="G3277" s="212"/>
    </row>
    <row r="3278" spans="2:7" ht="17" thickBot="1" x14ac:dyDescent="0.25">
      <c r="B3278" s="212"/>
      <c r="C3278" s="213"/>
      <c r="D3278" s="212"/>
      <c r="E3278" s="212"/>
      <c r="F3278" s="212"/>
      <c r="G3278" s="212"/>
    </row>
    <row r="3279" spans="2:7" ht="17" thickTop="1" x14ac:dyDescent="0.2">
      <c r="B3279" s="537" t="s">
        <v>93</v>
      </c>
      <c r="C3279" s="538"/>
      <c r="D3279" s="538"/>
      <c r="E3279" s="538"/>
      <c r="F3279" s="148"/>
      <c r="G3279" s="149" t="s">
        <v>439</v>
      </c>
    </row>
    <row r="3280" spans="2:7" x14ac:dyDescent="0.2">
      <c r="B3280" s="539"/>
      <c r="C3280" s="540"/>
      <c r="D3280" s="540"/>
      <c r="E3280" s="540"/>
      <c r="F3280" s="150"/>
      <c r="G3280" s="151" t="s">
        <v>477</v>
      </c>
    </row>
    <row r="3281" spans="2:7" x14ac:dyDescent="0.2">
      <c r="B3281" s="152" t="s">
        <v>1</v>
      </c>
      <c r="C3281" s="153" t="s">
        <v>2</v>
      </c>
      <c r="D3281" s="153" t="s">
        <v>3</v>
      </c>
      <c r="E3281" s="153" t="s">
        <v>441</v>
      </c>
      <c r="F3281" s="154" t="s">
        <v>442</v>
      </c>
      <c r="G3281" s="155" t="s">
        <v>443</v>
      </c>
    </row>
    <row r="3282" spans="2:7" x14ac:dyDescent="0.2">
      <c r="B3282" s="157"/>
      <c r="C3282" s="158"/>
      <c r="D3282" s="156"/>
      <c r="E3282" s="156"/>
      <c r="F3282" s="159"/>
      <c r="G3282" s="160"/>
    </row>
    <row r="3283" spans="2:7" x14ac:dyDescent="0.2">
      <c r="B3283" s="161" t="s">
        <v>444</v>
      </c>
      <c r="C3283" s="158"/>
      <c r="D3283" s="156"/>
      <c r="E3283" s="156"/>
      <c r="F3283" s="159"/>
      <c r="G3283" s="160"/>
    </row>
    <row r="3284" spans="2:7" x14ac:dyDescent="0.2">
      <c r="B3284" s="184" t="s">
        <v>470</v>
      </c>
      <c r="C3284" s="163" t="s">
        <v>2</v>
      </c>
      <c r="D3284" s="164">
        <v>0.35</v>
      </c>
      <c r="E3284" s="165"/>
      <c r="F3284" s="166">
        <v>127091.44</v>
      </c>
      <c r="G3284" s="315">
        <v>44593.48</v>
      </c>
    </row>
    <row r="3285" spans="2:7" x14ac:dyDescent="0.2">
      <c r="B3285" s="180"/>
      <c r="C3285" s="185"/>
      <c r="D3285" s="181"/>
      <c r="E3285" s="186"/>
      <c r="F3285" s="222"/>
      <c r="G3285" s="182"/>
    </row>
    <row r="3286" spans="2:7" x14ac:dyDescent="0.2">
      <c r="B3286" s="157"/>
      <c r="C3286" s="158"/>
      <c r="D3286" s="156"/>
      <c r="E3286" s="156"/>
      <c r="F3286" s="159" t="s">
        <v>446</v>
      </c>
      <c r="G3286" s="183">
        <v>44593.48</v>
      </c>
    </row>
    <row r="3287" spans="2:7" x14ac:dyDescent="0.2">
      <c r="B3287" s="161" t="s">
        <v>447</v>
      </c>
      <c r="C3287" s="158"/>
      <c r="D3287" s="156"/>
      <c r="E3287" s="156"/>
      <c r="F3287" s="159"/>
      <c r="G3287" s="160"/>
    </row>
    <row r="3288" spans="2:7" x14ac:dyDescent="0.2">
      <c r="B3288" s="162" t="s">
        <v>448</v>
      </c>
      <c r="C3288" s="163" t="s">
        <v>2</v>
      </c>
      <c r="D3288" s="164">
        <v>1.75</v>
      </c>
      <c r="E3288" s="165" t="s">
        <v>542</v>
      </c>
      <c r="F3288" s="166">
        <v>1208.1199999999999</v>
      </c>
      <c r="G3288" s="167">
        <v>2119.5</v>
      </c>
    </row>
    <row r="3289" spans="2:7" x14ac:dyDescent="0.2">
      <c r="B3289" s="195"/>
      <c r="C3289" s="361"/>
      <c r="D3289" s="362"/>
      <c r="E3289" s="363"/>
      <c r="F3289" s="364"/>
      <c r="G3289" s="311"/>
    </row>
    <row r="3290" spans="2:7" x14ac:dyDescent="0.2">
      <c r="B3290" s="157"/>
      <c r="C3290" s="158"/>
      <c r="D3290" s="156"/>
      <c r="E3290" s="156"/>
      <c r="F3290" s="159" t="s">
        <v>449</v>
      </c>
      <c r="G3290" s="183">
        <v>2119.5</v>
      </c>
    </row>
    <row r="3291" spans="2:7" x14ac:dyDescent="0.2">
      <c r="B3291" s="161" t="s">
        <v>450</v>
      </c>
      <c r="C3291" s="158"/>
      <c r="D3291" s="156"/>
      <c r="E3291" s="156"/>
      <c r="F3291" s="159"/>
      <c r="G3291" s="160"/>
    </row>
    <row r="3292" spans="2:7" x14ac:dyDescent="0.2">
      <c r="B3292" s="184" t="s">
        <v>451</v>
      </c>
      <c r="C3292" s="185" t="s">
        <v>2</v>
      </c>
      <c r="D3292" s="262">
        <v>47423.5</v>
      </c>
      <c r="E3292" s="186"/>
      <c r="F3292" s="187">
        <v>0.02</v>
      </c>
      <c r="G3292" s="315">
        <v>948.47</v>
      </c>
    </row>
    <row r="3293" spans="2:7" x14ac:dyDescent="0.2">
      <c r="B3293" s="180"/>
      <c r="C3293" s="185"/>
      <c r="D3293" s="181"/>
      <c r="E3293" s="186"/>
      <c r="F3293" s="222"/>
      <c r="G3293" s="182"/>
    </row>
    <row r="3294" spans="2:7" x14ac:dyDescent="0.2">
      <c r="B3294" s="157"/>
      <c r="C3294" s="158"/>
      <c r="D3294" s="156"/>
      <c r="E3294" s="156"/>
      <c r="F3294" s="159" t="s">
        <v>452</v>
      </c>
      <c r="G3294" s="183">
        <v>948.47</v>
      </c>
    </row>
    <row r="3295" spans="2:7" x14ac:dyDescent="0.2">
      <c r="B3295" s="161" t="s">
        <v>453</v>
      </c>
      <c r="C3295" s="158"/>
      <c r="D3295" s="156"/>
      <c r="E3295" s="156"/>
      <c r="F3295" s="159"/>
      <c r="G3295" s="160"/>
    </row>
    <row r="3296" spans="2:7" x14ac:dyDescent="0.2">
      <c r="B3296" s="189" t="s">
        <v>454</v>
      </c>
      <c r="C3296" s="190" t="s">
        <v>2</v>
      </c>
      <c r="D3296" s="365">
        <v>6.0000000000000001E-3</v>
      </c>
      <c r="E3296" s="232"/>
      <c r="F3296" s="166">
        <v>121500</v>
      </c>
      <c r="G3296" s="304">
        <v>710.52</v>
      </c>
    </row>
    <row r="3297" spans="2:7" x14ac:dyDescent="0.2">
      <c r="B3297" s="239" t="s">
        <v>458</v>
      </c>
      <c r="C3297" s="240" t="s">
        <v>456</v>
      </c>
      <c r="D3297" s="366">
        <v>48371.97</v>
      </c>
      <c r="E3297" s="242"/>
      <c r="F3297" s="243"/>
      <c r="G3297" s="367" t="s">
        <v>465</v>
      </c>
    </row>
    <row r="3298" spans="2:7" x14ac:dyDescent="0.2">
      <c r="B3298" s="239" t="s">
        <v>455</v>
      </c>
      <c r="C3298" s="240" t="s">
        <v>456</v>
      </c>
      <c r="D3298" s="366">
        <v>48371.97</v>
      </c>
      <c r="E3298" s="242"/>
      <c r="F3298" s="243"/>
      <c r="G3298" s="304" t="s">
        <v>465</v>
      </c>
    </row>
    <row r="3299" spans="2:7" x14ac:dyDescent="0.2">
      <c r="B3299" s="236"/>
      <c r="C3299" s="185"/>
      <c r="D3299" s="181"/>
      <c r="E3299" s="186"/>
      <c r="F3299" s="222"/>
      <c r="G3299" s="315"/>
    </row>
    <row r="3300" spans="2:7" x14ac:dyDescent="0.2">
      <c r="B3300" s="157"/>
      <c r="C3300" s="158"/>
      <c r="D3300" s="156"/>
      <c r="E3300" s="156"/>
      <c r="F3300" s="159" t="s">
        <v>459</v>
      </c>
      <c r="G3300" s="183">
        <v>710.52</v>
      </c>
    </row>
    <row r="3301" spans="2:7" x14ac:dyDescent="0.2">
      <c r="B3301" s="157"/>
      <c r="C3301" s="158"/>
      <c r="D3301" s="156"/>
      <c r="E3301" s="156"/>
      <c r="F3301" s="159"/>
      <c r="G3301" s="160"/>
    </row>
    <row r="3302" spans="2:7" ht="17" thickBot="1" x14ac:dyDescent="0.25">
      <c r="B3302" s="206"/>
      <c r="C3302" s="207"/>
      <c r="D3302" s="208"/>
      <c r="E3302" s="209" t="s">
        <v>460</v>
      </c>
      <c r="F3302" s="210" t="e">
        <v>#REF!</v>
      </c>
      <c r="G3302" s="211">
        <v>48372</v>
      </c>
    </row>
    <row r="3303" spans="2:7" ht="17" thickTop="1" x14ac:dyDescent="0.2">
      <c r="B3303" s="212"/>
      <c r="C3303" s="213"/>
      <c r="D3303" s="212"/>
      <c r="E3303" s="212"/>
      <c r="F3303" s="212"/>
      <c r="G3303" s="212"/>
    </row>
    <row r="3304" spans="2:7" x14ac:dyDescent="0.2">
      <c r="B3304" s="212"/>
      <c r="C3304" s="213"/>
      <c r="D3304" s="212"/>
      <c r="E3304" s="212"/>
      <c r="F3304" s="212"/>
      <c r="G3304" s="212"/>
    </row>
    <row r="3305" spans="2:7" ht="17" thickBot="1" x14ac:dyDescent="0.25">
      <c r="B3305" s="212"/>
      <c r="C3305" s="213"/>
      <c r="D3305" s="212"/>
      <c r="E3305" s="212"/>
      <c r="F3305" s="212"/>
      <c r="G3305" s="212"/>
    </row>
    <row r="3306" spans="2:7" ht="17" thickTop="1" x14ac:dyDescent="0.2">
      <c r="B3306" s="537" t="s">
        <v>94</v>
      </c>
      <c r="C3306" s="538"/>
      <c r="D3306" s="538"/>
      <c r="E3306" s="538"/>
      <c r="F3306" s="148"/>
      <c r="G3306" s="149" t="s">
        <v>439</v>
      </c>
    </row>
    <row r="3307" spans="2:7" x14ac:dyDescent="0.2">
      <c r="B3307" s="539"/>
      <c r="C3307" s="540"/>
      <c r="D3307" s="540"/>
      <c r="E3307" s="540"/>
      <c r="F3307" s="150"/>
      <c r="G3307" s="151" t="s">
        <v>477</v>
      </c>
    </row>
    <row r="3308" spans="2:7" x14ac:dyDescent="0.2">
      <c r="B3308" s="152" t="s">
        <v>1</v>
      </c>
      <c r="C3308" s="153" t="s">
        <v>2</v>
      </c>
      <c r="D3308" s="153" t="s">
        <v>3</v>
      </c>
      <c r="E3308" s="153" t="s">
        <v>441</v>
      </c>
      <c r="F3308" s="154" t="s">
        <v>442</v>
      </c>
      <c r="G3308" s="155" t="s">
        <v>443</v>
      </c>
    </row>
    <row r="3309" spans="2:7" x14ac:dyDescent="0.2">
      <c r="B3309" s="157"/>
      <c r="C3309" s="158"/>
      <c r="D3309" s="156"/>
      <c r="E3309" s="156"/>
      <c r="F3309" s="159"/>
      <c r="G3309" s="160"/>
    </row>
    <row r="3310" spans="2:7" x14ac:dyDescent="0.2">
      <c r="B3310" s="161" t="s">
        <v>444</v>
      </c>
      <c r="C3310" s="158"/>
      <c r="D3310" s="156"/>
      <c r="E3310" s="156"/>
      <c r="F3310" s="159"/>
      <c r="G3310" s="160"/>
    </row>
    <row r="3311" spans="2:7" x14ac:dyDescent="0.2">
      <c r="B3311" s="184" t="s">
        <v>470</v>
      </c>
      <c r="C3311" s="163" t="s">
        <v>2</v>
      </c>
      <c r="D3311" s="164">
        <v>0.28999999999999998</v>
      </c>
      <c r="E3311" s="165"/>
      <c r="F3311" s="166">
        <v>127091.44</v>
      </c>
      <c r="G3311" s="315">
        <v>37283.07</v>
      </c>
    </row>
    <row r="3312" spans="2:7" x14ac:dyDescent="0.2">
      <c r="B3312" s="180"/>
      <c r="C3312" s="185"/>
      <c r="D3312" s="181"/>
      <c r="E3312" s="186"/>
      <c r="F3312" s="222"/>
      <c r="G3312" s="182"/>
    </row>
    <row r="3313" spans="2:7" x14ac:dyDescent="0.2">
      <c r="B3313" s="157"/>
      <c r="C3313" s="158"/>
      <c r="D3313" s="156"/>
      <c r="E3313" s="156"/>
      <c r="F3313" s="159" t="s">
        <v>446</v>
      </c>
      <c r="G3313" s="183">
        <v>37283.07</v>
      </c>
    </row>
    <row r="3314" spans="2:7" x14ac:dyDescent="0.2">
      <c r="B3314" s="161" t="s">
        <v>447</v>
      </c>
      <c r="C3314" s="158"/>
      <c r="D3314" s="156"/>
      <c r="E3314" s="156"/>
      <c r="F3314" s="159"/>
      <c r="G3314" s="160"/>
    </row>
    <row r="3315" spans="2:7" x14ac:dyDescent="0.2">
      <c r="B3315" s="162" t="s">
        <v>448</v>
      </c>
      <c r="C3315" s="163" t="s">
        <v>2</v>
      </c>
      <c r="D3315" s="164">
        <v>1.75</v>
      </c>
      <c r="E3315" s="165" t="s">
        <v>542</v>
      </c>
      <c r="F3315" s="166">
        <v>1208.1199999999999</v>
      </c>
      <c r="G3315" s="167">
        <v>2119.5</v>
      </c>
    </row>
    <row r="3316" spans="2:7" x14ac:dyDescent="0.2">
      <c r="B3316" s="195"/>
      <c r="C3316" s="361"/>
      <c r="D3316" s="362"/>
      <c r="E3316" s="363"/>
      <c r="F3316" s="364"/>
      <c r="G3316" s="311"/>
    </row>
    <row r="3317" spans="2:7" x14ac:dyDescent="0.2">
      <c r="B3317" s="157"/>
      <c r="C3317" s="158"/>
      <c r="D3317" s="156"/>
      <c r="E3317" s="156"/>
      <c r="F3317" s="159" t="s">
        <v>449</v>
      </c>
      <c r="G3317" s="183">
        <v>2119.5</v>
      </c>
    </row>
    <row r="3318" spans="2:7" x14ac:dyDescent="0.2">
      <c r="B3318" s="161" t="s">
        <v>450</v>
      </c>
      <c r="C3318" s="158"/>
      <c r="D3318" s="156"/>
      <c r="E3318" s="156"/>
      <c r="F3318" s="159"/>
      <c r="G3318" s="160"/>
    </row>
    <row r="3319" spans="2:7" x14ac:dyDescent="0.2">
      <c r="B3319" s="184" t="s">
        <v>451</v>
      </c>
      <c r="C3319" s="185" t="s">
        <v>2</v>
      </c>
      <c r="D3319" s="262">
        <v>40113.089999999997</v>
      </c>
      <c r="E3319" s="186"/>
      <c r="F3319" s="187">
        <v>0.02</v>
      </c>
      <c r="G3319" s="315">
        <v>802.26</v>
      </c>
    </row>
    <row r="3320" spans="2:7" x14ac:dyDescent="0.2">
      <c r="B3320" s="180"/>
      <c r="C3320" s="185"/>
      <c r="D3320" s="181"/>
      <c r="E3320" s="186"/>
      <c r="F3320" s="222"/>
      <c r="G3320" s="182"/>
    </row>
    <row r="3321" spans="2:7" x14ac:dyDescent="0.2">
      <c r="B3321" s="157"/>
      <c r="C3321" s="158"/>
      <c r="D3321" s="156"/>
      <c r="E3321" s="156"/>
      <c r="F3321" s="159" t="s">
        <v>452</v>
      </c>
      <c r="G3321" s="183">
        <v>802.26</v>
      </c>
    </row>
    <row r="3322" spans="2:7" x14ac:dyDescent="0.2">
      <c r="B3322" s="161" t="s">
        <v>453</v>
      </c>
      <c r="C3322" s="158"/>
      <c r="D3322" s="156"/>
      <c r="E3322" s="156"/>
      <c r="F3322" s="159"/>
      <c r="G3322" s="160"/>
    </row>
    <row r="3323" spans="2:7" x14ac:dyDescent="0.2">
      <c r="B3323" s="189" t="s">
        <v>454</v>
      </c>
      <c r="C3323" s="190" t="s">
        <v>2</v>
      </c>
      <c r="D3323" s="365">
        <v>6.0000000000000001E-3</v>
      </c>
      <c r="E3323" s="232"/>
      <c r="F3323" s="166">
        <v>121500</v>
      </c>
      <c r="G3323" s="304">
        <v>710.52</v>
      </c>
    </row>
    <row r="3324" spans="2:7" x14ac:dyDescent="0.2">
      <c r="B3324" s="239" t="s">
        <v>458</v>
      </c>
      <c r="C3324" s="240" t="s">
        <v>456</v>
      </c>
      <c r="D3324" s="366">
        <v>40915.35</v>
      </c>
      <c r="E3324" s="242"/>
      <c r="F3324" s="243"/>
      <c r="G3324" s="367" t="s">
        <v>465</v>
      </c>
    </row>
    <row r="3325" spans="2:7" x14ac:dyDescent="0.2">
      <c r="B3325" s="239" t="s">
        <v>455</v>
      </c>
      <c r="C3325" s="240" t="s">
        <v>456</v>
      </c>
      <c r="D3325" s="366">
        <v>40915.35</v>
      </c>
      <c r="E3325" s="242"/>
      <c r="F3325" s="243"/>
      <c r="G3325" s="304" t="s">
        <v>465</v>
      </c>
    </row>
    <row r="3326" spans="2:7" x14ac:dyDescent="0.2">
      <c r="B3326" s="236"/>
      <c r="C3326" s="185"/>
      <c r="D3326" s="181"/>
      <c r="E3326" s="186"/>
      <c r="F3326" s="222"/>
      <c r="G3326" s="315"/>
    </row>
    <row r="3327" spans="2:7" x14ac:dyDescent="0.2">
      <c r="B3327" s="157"/>
      <c r="C3327" s="158"/>
      <c r="D3327" s="156"/>
      <c r="E3327" s="156"/>
      <c r="F3327" s="159" t="s">
        <v>459</v>
      </c>
      <c r="G3327" s="183">
        <v>710.52</v>
      </c>
    </row>
    <row r="3328" spans="2:7" x14ac:dyDescent="0.2">
      <c r="B3328" s="157"/>
      <c r="C3328" s="158"/>
      <c r="D3328" s="156"/>
      <c r="E3328" s="156"/>
      <c r="F3328" s="159"/>
      <c r="G3328" s="160"/>
    </row>
    <row r="3329" spans="2:7" ht="17" thickBot="1" x14ac:dyDescent="0.25">
      <c r="B3329" s="206"/>
      <c r="C3329" s="207"/>
      <c r="D3329" s="208"/>
      <c r="E3329" s="209" t="s">
        <v>460</v>
      </c>
      <c r="F3329" s="210" t="s">
        <v>461</v>
      </c>
      <c r="G3329" s="211">
        <v>40915</v>
      </c>
    </row>
    <row r="3330" spans="2:7" ht="17" thickTop="1" x14ac:dyDescent="0.2">
      <c r="B3330" s="212"/>
      <c r="C3330" s="213"/>
      <c r="D3330" s="212"/>
      <c r="E3330" s="212"/>
      <c r="F3330" s="212"/>
      <c r="G3330" s="212"/>
    </row>
    <row r="3331" spans="2:7" x14ac:dyDescent="0.2">
      <c r="B3331" s="212"/>
      <c r="C3331" s="213"/>
      <c r="D3331" s="212"/>
      <c r="E3331" s="212"/>
      <c r="F3331" s="212"/>
      <c r="G3331" s="212"/>
    </row>
    <row r="3332" spans="2:7" ht="17" thickBot="1" x14ac:dyDescent="0.25">
      <c r="B3332" s="212"/>
      <c r="C3332" s="213"/>
      <c r="D3332" s="212"/>
      <c r="E3332" s="212"/>
      <c r="F3332" s="212"/>
      <c r="G3332" s="212"/>
    </row>
    <row r="3333" spans="2:7" ht="17" thickTop="1" x14ac:dyDescent="0.2">
      <c r="B3333" s="537" t="s">
        <v>95</v>
      </c>
      <c r="C3333" s="538"/>
      <c r="D3333" s="538"/>
      <c r="E3333" s="538"/>
      <c r="F3333" s="148"/>
      <c r="G3333" s="149" t="s">
        <v>439</v>
      </c>
    </row>
    <row r="3334" spans="2:7" x14ac:dyDescent="0.2">
      <c r="B3334" s="539"/>
      <c r="C3334" s="540"/>
      <c r="D3334" s="540"/>
      <c r="E3334" s="540"/>
      <c r="F3334" s="150"/>
      <c r="G3334" s="151" t="s">
        <v>477</v>
      </c>
    </row>
    <row r="3335" spans="2:7" x14ac:dyDescent="0.2">
      <c r="B3335" s="152" t="s">
        <v>1</v>
      </c>
      <c r="C3335" s="153" t="s">
        <v>2</v>
      </c>
      <c r="D3335" s="153" t="s">
        <v>3</v>
      </c>
      <c r="E3335" s="153" t="s">
        <v>441</v>
      </c>
      <c r="F3335" s="154" t="s">
        <v>442</v>
      </c>
      <c r="G3335" s="155" t="s">
        <v>443</v>
      </c>
    </row>
    <row r="3336" spans="2:7" x14ac:dyDescent="0.2">
      <c r="B3336" s="157"/>
      <c r="C3336" s="158"/>
      <c r="D3336" s="156"/>
      <c r="E3336" s="156"/>
      <c r="F3336" s="159"/>
      <c r="G3336" s="160"/>
    </row>
    <row r="3337" spans="2:7" x14ac:dyDescent="0.2">
      <c r="B3337" s="161" t="s">
        <v>444</v>
      </c>
      <c r="C3337" s="158"/>
      <c r="D3337" s="156"/>
      <c r="E3337" s="156"/>
      <c r="F3337" s="159"/>
      <c r="G3337" s="160"/>
    </row>
    <row r="3338" spans="2:7" x14ac:dyDescent="0.2">
      <c r="B3338" s="184" t="s">
        <v>470</v>
      </c>
      <c r="C3338" s="163" t="s">
        <v>2</v>
      </c>
      <c r="D3338" s="164">
        <v>0.24</v>
      </c>
      <c r="E3338" s="165"/>
      <c r="F3338" s="166">
        <v>127091.44</v>
      </c>
      <c r="G3338" s="315">
        <v>29972.67</v>
      </c>
    </row>
    <row r="3339" spans="2:7" x14ac:dyDescent="0.2">
      <c r="B3339" s="180"/>
      <c r="C3339" s="185"/>
      <c r="D3339" s="181"/>
      <c r="E3339" s="186"/>
      <c r="F3339" s="222"/>
      <c r="G3339" s="182"/>
    </row>
    <row r="3340" spans="2:7" x14ac:dyDescent="0.2">
      <c r="B3340" s="157"/>
      <c r="C3340" s="158"/>
      <c r="D3340" s="156"/>
      <c r="E3340" s="156"/>
      <c r="F3340" s="159" t="s">
        <v>446</v>
      </c>
      <c r="G3340" s="183">
        <v>29972.67</v>
      </c>
    </row>
    <row r="3341" spans="2:7" x14ac:dyDescent="0.2">
      <c r="B3341" s="161" t="s">
        <v>447</v>
      </c>
      <c r="C3341" s="158"/>
      <c r="D3341" s="156"/>
      <c r="E3341" s="156"/>
      <c r="F3341" s="159"/>
      <c r="G3341" s="160"/>
    </row>
    <row r="3342" spans="2:7" x14ac:dyDescent="0.2">
      <c r="B3342" s="162" t="s">
        <v>448</v>
      </c>
      <c r="C3342" s="163" t="s">
        <v>2</v>
      </c>
      <c r="D3342" s="164">
        <v>1.75</v>
      </c>
      <c r="E3342" s="165" t="s">
        <v>542</v>
      </c>
      <c r="F3342" s="166">
        <v>1208.1199999999999</v>
      </c>
      <c r="G3342" s="167">
        <v>2119.5</v>
      </c>
    </row>
    <row r="3343" spans="2:7" x14ac:dyDescent="0.2">
      <c r="B3343" s="195"/>
      <c r="C3343" s="361"/>
      <c r="D3343" s="362"/>
      <c r="E3343" s="363"/>
      <c r="F3343" s="364"/>
      <c r="G3343" s="311"/>
    </row>
    <row r="3344" spans="2:7" x14ac:dyDescent="0.2">
      <c r="B3344" s="157"/>
      <c r="C3344" s="158"/>
      <c r="D3344" s="156"/>
      <c r="E3344" s="156"/>
      <c r="F3344" s="159" t="s">
        <v>449</v>
      </c>
      <c r="G3344" s="183">
        <v>2119.5</v>
      </c>
    </row>
    <row r="3345" spans="2:7" x14ac:dyDescent="0.2">
      <c r="B3345" s="161" t="s">
        <v>450</v>
      </c>
      <c r="C3345" s="158"/>
      <c r="D3345" s="156"/>
      <c r="E3345" s="156"/>
      <c r="F3345" s="159"/>
      <c r="G3345" s="160"/>
    </row>
    <row r="3346" spans="2:7" x14ac:dyDescent="0.2">
      <c r="B3346" s="184" t="s">
        <v>451</v>
      </c>
      <c r="C3346" s="185" t="s">
        <v>2</v>
      </c>
      <c r="D3346" s="262">
        <v>32802.69</v>
      </c>
      <c r="E3346" s="186"/>
      <c r="F3346" s="187">
        <v>0.02</v>
      </c>
      <c r="G3346" s="315">
        <v>656.05</v>
      </c>
    </row>
    <row r="3347" spans="2:7" x14ac:dyDescent="0.2">
      <c r="B3347" s="180"/>
      <c r="C3347" s="185"/>
      <c r="D3347" s="181"/>
      <c r="E3347" s="186"/>
      <c r="F3347" s="222"/>
      <c r="G3347" s="182"/>
    </row>
    <row r="3348" spans="2:7" x14ac:dyDescent="0.2">
      <c r="B3348" s="157"/>
      <c r="C3348" s="158"/>
      <c r="D3348" s="156"/>
      <c r="E3348" s="156"/>
      <c r="F3348" s="159" t="s">
        <v>452</v>
      </c>
      <c r="G3348" s="183">
        <v>656.05</v>
      </c>
    </row>
    <row r="3349" spans="2:7" x14ac:dyDescent="0.2">
      <c r="B3349" s="161" t="s">
        <v>453</v>
      </c>
      <c r="C3349" s="158"/>
      <c r="D3349" s="156"/>
      <c r="E3349" s="156"/>
      <c r="F3349" s="159"/>
      <c r="G3349" s="160"/>
    </row>
    <row r="3350" spans="2:7" x14ac:dyDescent="0.2">
      <c r="B3350" s="189" t="s">
        <v>454</v>
      </c>
      <c r="C3350" s="190" t="s">
        <v>2</v>
      </c>
      <c r="D3350" s="365">
        <v>6.0000000000000001E-3</v>
      </c>
      <c r="E3350" s="232"/>
      <c r="F3350" s="166">
        <v>121500</v>
      </c>
      <c r="G3350" s="304">
        <v>710.52</v>
      </c>
    </row>
    <row r="3351" spans="2:7" x14ac:dyDescent="0.2">
      <c r="B3351" s="239" t="s">
        <v>455</v>
      </c>
      <c r="C3351" s="240" t="s">
        <v>456</v>
      </c>
      <c r="D3351" s="366">
        <v>33458.74</v>
      </c>
      <c r="E3351" s="242"/>
      <c r="F3351" s="243"/>
      <c r="G3351" s="367" t="s">
        <v>465</v>
      </c>
    </row>
    <row r="3352" spans="2:7" x14ac:dyDescent="0.2">
      <c r="B3352" s="239" t="s">
        <v>458</v>
      </c>
      <c r="C3352" s="240" t="s">
        <v>456</v>
      </c>
      <c r="D3352" s="366">
        <v>33458.74</v>
      </c>
      <c r="E3352" s="242"/>
      <c r="F3352" s="243"/>
      <c r="G3352" s="304" t="s">
        <v>465</v>
      </c>
    </row>
    <row r="3353" spans="2:7" x14ac:dyDescent="0.2">
      <c r="B3353" s="236"/>
      <c r="C3353" s="185"/>
      <c r="D3353" s="181"/>
      <c r="E3353" s="186"/>
      <c r="F3353" s="222"/>
      <c r="G3353" s="315"/>
    </row>
    <row r="3354" spans="2:7" x14ac:dyDescent="0.2">
      <c r="B3354" s="157"/>
      <c r="C3354" s="158"/>
      <c r="D3354" s="156"/>
      <c r="E3354" s="156"/>
      <c r="F3354" s="159" t="s">
        <v>459</v>
      </c>
      <c r="G3354" s="183">
        <v>710.52</v>
      </c>
    </row>
    <row r="3355" spans="2:7" x14ac:dyDescent="0.2">
      <c r="B3355" s="157"/>
      <c r="C3355" s="158"/>
      <c r="D3355" s="156"/>
      <c r="E3355" s="156"/>
      <c r="F3355" s="159"/>
      <c r="G3355" s="160"/>
    </row>
    <row r="3356" spans="2:7" ht="17" thickBot="1" x14ac:dyDescent="0.25">
      <c r="B3356" s="206"/>
      <c r="C3356" s="207"/>
      <c r="D3356" s="208"/>
      <c r="E3356" s="209" t="s">
        <v>460</v>
      </c>
      <c r="F3356" s="210" t="s">
        <v>461</v>
      </c>
      <c r="G3356" s="211">
        <v>33459</v>
      </c>
    </row>
    <row r="3357" spans="2:7" ht="17" thickTop="1" x14ac:dyDescent="0.2">
      <c r="B3357" s="212"/>
      <c r="C3357" s="213"/>
      <c r="D3357" s="212"/>
      <c r="E3357" s="212"/>
      <c r="F3357" s="212"/>
      <c r="G3357" s="212"/>
    </row>
    <row r="3358" spans="2:7" x14ac:dyDescent="0.2">
      <c r="B3358" s="212"/>
      <c r="C3358" s="213"/>
      <c r="D3358" s="212"/>
      <c r="E3358" s="212"/>
      <c r="F3358" s="212"/>
      <c r="G3358" s="212"/>
    </row>
    <row r="3359" spans="2:7" ht="17" thickBot="1" x14ac:dyDescent="0.25">
      <c r="B3359" s="212"/>
      <c r="C3359" s="213"/>
      <c r="D3359" s="212"/>
      <c r="E3359" s="212"/>
      <c r="F3359" s="212"/>
      <c r="G3359" s="212"/>
    </row>
    <row r="3360" spans="2:7" ht="17" thickTop="1" x14ac:dyDescent="0.2">
      <c r="B3360" s="537" t="s">
        <v>96</v>
      </c>
      <c r="C3360" s="538"/>
      <c r="D3360" s="538"/>
      <c r="E3360" s="538"/>
      <c r="F3360" s="148"/>
      <c r="G3360" s="149" t="s">
        <v>439</v>
      </c>
    </row>
    <row r="3361" spans="2:7" x14ac:dyDescent="0.2">
      <c r="B3361" s="539"/>
      <c r="C3361" s="540"/>
      <c r="D3361" s="540"/>
      <c r="E3361" s="540"/>
      <c r="F3361" s="150"/>
      <c r="G3361" s="151" t="s">
        <v>477</v>
      </c>
    </row>
    <row r="3362" spans="2:7" x14ac:dyDescent="0.2">
      <c r="B3362" s="152" t="s">
        <v>1</v>
      </c>
      <c r="C3362" s="153" t="s">
        <v>2</v>
      </c>
      <c r="D3362" s="153" t="s">
        <v>3</v>
      </c>
      <c r="E3362" s="153" t="s">
        <v>441</v>
      </c>
      <c r="F3362" s="154" t="s">
        <v>442</v>
      </c>
      <c r="G3362" s="155" t="s">
        <v>443</v>
      </c>
    </row>
    <row r="3363" spans="2:7" x14ac:dyDescent="0.2">
      <c r="B3363" s="157"/>
      <c r="C3363" s="158"/>
      <c r="D3363" s="156"/>
      <c r="E3363" s="156"/>
      <c r="F3363" s="159"/>
      <c r="G3363" s="160"/>
    </row>
    <row r="3364" spans="2:7" x14ac:dyDescent="0.2">
      <c r="B3364" s="161" t="s">
        <v>444</v>
      </c>
      <c r="C3364" s="158"/>
      <c r="D3364" s="156"/>
      <c r="E3364" s="156"/>
      <c r="F3364" s="159"/>
      <c r="G3364" s="160"/>
    </row>
    <row r="3365" spans="2:7" x14ac:dyDescent="0.2">
      <c r="B3365" s="184" t="s">
        <v>470</v>
      </c>
      <c r="C3365" s="163" t="s">
        <v>2</v>
      </c>
      <c r="D3365" s="164">
        <v>0.18</v>
      </c>
      <c r="E3365" s="165"/>
      <c r="F3365" s="166">
        <v>127091.44</v>
      </c>
      <c r="G3365" s="315">
        <v>22662.26</v>
      </c>
    </row>
    <row r="3366" spans="2:7" x14ac:dyDescent="0.2">
      <c r="B3366" s="180"/>
      <c r="C3366" s="185"/>
      <c r="D3366" s="181"/>
      <c r="E3366" s="186"/>
      <c r="F3366" s="222"/>
      <c r="G3366" s="182"/>
    </row>
    <row r="3367" spans="2:7" x14ac:dyDescent="0.2">
      <c r="B3367" s="157"/>
      <c r="C3367" s="158"/>
      <c r="D3367" s="156"/>
      <c r="E3367" s="156"/>
      <c r="F3367" s="159" t="s">
        <v>446</v>
      </c>
      <c r="G3367" s="183">
        <v>22662.26</v>
      </c>
    </row>
    <row r="3368" spans="2:7" x14ac:dyDescent="0.2">
      <c r="B3368" s="161" t="s">
        <v>447</v>
      </c>
      <c r="C3368" s="158"/>
      <c r="D3368" s="156"/>
      <c r="E3368" s="156"/>
      <c r="F3368" s="159"/>
      <c r="G3368" s="160"/>
    </row>
    <row r="3369" spans="2:7" x14ac:dyDescent="0.2">
      <c r="B3369" s="162" t="s">
        <v>448</v>
      </c>
      <c r="C3369" s="163" t="s">
        <v>2</v>
      </c>
      <c r="D3369" s="164">
        <v>1.75</v>
      </c>
      <c r="E3369" s="165" t="s">
        <v>542</v>
      </c>
      <c r="F3369" s="166">
        <v>1208.1199999999999</v>
      </c>
      <c r="G3369" s="167">
        <v>2119.5</v>
      </c>
    </row>
    <row r="3370" spans="2:7" x14ac:dyDescent="0.2">
      <c r="B3370" s="195"/>
      <c r="C3370" s="361"/>
      <c r="D3370" s="362"/>
      <c r="E3370" s="363"/>
      <c r="F3370" s="364"/>
      <c r="G3370" s="311"/>
    </row>
    <row r="3371" spans="2:7" x14ac:dyDescent="0.2">
      <c r="B3371" s="157"/>
      <c r="C3371" s="158"/>
      <c r="D3371" s="156"/>
      <c r="E3371" s="156"/>
      <c r="F3371" s="159" t="s">
        <v>449</v>
      </c>
      <c r="G3371" s="183">
        <v>2119.5</v>
      </c>
    </row>
    <row r="3372" spans="2:7" x14ac:dyDescent="0.2">
      <c r="B3372" s="161" t="s">
        <v>450</v>
      </c>
      <c r="C3372" s="158"/>
      <c r="D3372" s="156"/>
      <c r="E3372" s="156"/>
      <c r="F3372" s="159"/>
      <c r="G3372" s="160"/>
    </row>
    <row r="3373" spans="2:7" x14ac:dyDescent="0.2">
      <c r="B3373" s="184" t="s">
        <v>451</v>
      </c>
      <c r="C3373" s="185" t="s">
        <v>2</v>
      </c>
      <c r="D3373" s="262">
        <v>25492.28</v>
      </c>
      <c r="E3373" s="186"/>
      <c r="F3373" s="187">
        <v>0.02</v>
      </c>
      <c r="G3373" s="315">
        <v>509.84</v>
      </c>
    </row>
    <row r="3374" spans="2:7" x14ac:dyDescent="0.2">
      <c r="B3374" s="180"/>
      <c r="C3374" s="185"/>
      <c r="D3374" s="181"/>
      <c r="E3374" s="186"/>
      <c r="F3374" s="222"/>
      <c r="G3374" s="182"/>
    </row>
    <row r="3375" spans="2:7" x14ac:dyDescent="0.2">
      <c r="B3375" s="157"/>
      <c r="C3375" s="158"/>
      <c r="D3375" s="156"/>
      <c r="E3375" s="156"/>
      <c r="F3375" s="159" t="s">
        <v>452</v>
      </c>
      <c r="G3375" s="183">
        <v>509.84</v>
      </c>
    </row>
    <row r="3376" spans="2:7" x14ac:dyDescent="0.2">
      <c r="B3376" s="161" t="s">
        <v>453</v>
      </c>
      <c r="C3376" s="158"/>
      <c r="D3376" s="156"/>
      <c r="E3376" s="156"/>
      <c r="F3376" s="159"/>
      <c r="G3376" s="160"/>
    </row>
    <row r="3377" spans="2:7" x14ac:dyDescent="0.2">
      <c r="B3377" s="189" t="s">
        <v>454</v>
      </c>
      <c r="C3377" s="190" t="s">
        <v>2</v>
      </c>
      <c r="D3377" s="365">
        <v>6.0000000000000001E-3</v>
      </c>
      <c r="E3377" s="232"/>
      <c r="F3377" s="166">
        <v>121500</v>
      </c>
      <c r="G3377" s="304">
        <v>710.52</v>
      </c>
    </row>
    <row r="3378" spans="2:7" x14ac:dyDescent="0.2">
      <c r="B3378" s="239" t="s">
        <v>458</v>
      </c>
      <c r="C3378" s="240" t="s">
        <v>456</v>
      </c>
      <c r="D3378" s="366">
        <v>26002.12</v>
      </c>
      <c r="E3378" s="242"/>
      <c r="F3378" s="243"/>
      <c r="G3378" s="367" t="s">
        <v>465</v>
      </c>
    </row>
    <row r="3379" spans="2:7" x14ac:dyDescent="0.2">
      <c r="B3379" s="239" t="s">
        <v>455</v>
      </c>
      <c r="C3379" s="240" t="s">
        <v>456</v>
      </c>
      <c r="D3379" s="366">
        <v>26002.12</v>
      </c>
      <c r="E3379" s="242"/>
      <c r="F3379" s="243"/>
      <c r="G3379" s="304" t="s">
        <v>465</v>
      </c>
    </row>
    <row r="3380" spans="2:7" x14ac:dyDescent="0.2">
      <c r="B3380" s="236"/>
      <c r="C3380" s="185"/>
      <c r="D3380" s="181"/>
      <c r="E3380" s="186"/>
      <c r="F3380" s="222"/>
      <c r="G3380" s="315"/>
    </row>
    <row r="3381" spans="2:7" x14ac:dyDescent="0.2">
      <c r="B3381" s="157"/>
      <c r="C3381" s="158"/>
      <c r="D3381" s="156"/>
      <c r="E3381" s="156"/>
      <c r="F3381" s="159" t="s">
        <v>459</v>
      </c>
      <c r="G3381" s="183">
        <v>710.52</v>
      </c>
    </row>
    <row r="3382" spans="2:7" x14ac:dyDescent="0.2">
      <c r="B3382" s="157"/>
      <c r="C3382" s="158"/>
      <c r="D3382" s="156"/>
      <c r="E3382" s="156"/>
      <c r="F3382" s="159"/>
      <c r="G3382" s="160"/>
    </row>
    <row r="3383" spans="2:7" ht="17" thickBot="1" x14ac:dyDescent="0.25">
      <c r="B3383" s="206"/>
      <c r="C3383" s="207"/>
      <c r="D3383" s="208"/>
      <c r="E3383" s="209" t="s">
        <v>460</v>
      </c>
      <c r="F3383" s="210" t="s">
        <v>461</v>
      </c>
      <c r="G3383" s="211">
        <v>26002</v>
      </c>
    </row>
    <row r="3384" spans="2:7" ht="17" thickTop="1" x14ac:dyDescent="0.2">
      <c r="B3384" s="212"/>
      <c r="C3384" s="213"/>
      <c r="D3384" s="212"/>
      <c r="E3384" s="212"/>
      <c r="F3384" s="212"/>
      <c r="G3384" s="212"/>
    </row>
    <row r="3385" spans="2:7" x14ac:dyDescent="0.2">
      <c r="B3385" s="212"/>
      <c r="C3385" s="213"/>
      <c r="D3385" s="212"/>
      <c r="E3385" s="212"/>
      <c r="F3385" s="212"/>
      <c r="G3385" s="212"/>
    </row>
    <row r="3386" spans="2:7" ht="17" thickBot="1" x14ac:dyDescent="0.25">
      <c r="B3386" s="212"/>
      <c r="C3386" s="213"/>
      <c r="D3386" s="212"/>
      <c r="E3386" s="212"/>
      <c r="F3386" s="212"/>
      <c r="G3386" s="212"/>
    </row>
    <row r="3387" spans="2:7" ht="17" thickTop="1" x14ac:dyDescent="0.2">
      <c r="B3387" s="537" t="s">
        <v>646</v>
      </c>
      <c r="C3387" s="538"/>
      <c r="D3387" s="538"/>
      <c r="E3387" s="538"/>
      <c r="F3387" s="148"/>
      <c r="G3387" s="149" t="s">
        <v>439</v>
      </c>
    </row>
    <row r="3388" spans="2:7" x14ac:dyDescent="0.2">
      <c r="B3388" s="539"/>
      <c r="C3388" s="540"/>
      <c r="D3388" s="540"/>
      <c r="E3388" s="540"/>
      <c r="F3388" s="150"/>
      <c r="G3388" s="151" t="s">
        <v>477</v>
      </c>
    </row>
    <row r="3389" spans="2:7" x14ac:dyDescent="0.2">
      <c r="B3389" s="152" t="s">
        <v>1</v>
      </c>
      <c r="C3389" s="153" t="s">
        <v>2</v>
      </c>
      <c r="D3389" s="153" t="s">
        <v>3</v>
      </c>
      <c r="E3389" s="153" t="s">
        <v>441</v>
      </c>
      <c r="F3389" s="154" t="s">
        <v>442</v>
      </c>
      <c r="G3389" s="155" t="s">
        <v>443</v>
      </c>
    </row>
    <row r="3390" spans="2:7" x14ac:dyDescent="0.2">
      <c r="B3390" s="157"/>
      <c r="C3390" s="158"/>
      <c r="D3390" s="156"/>
      <c r="E3390" s="156"/>
      <c r="F3390" s="159"/>
      <c r="G3390" s="160"/>
    </row>
    <row r="3391" spans="2:7" x14ac:dyDescent="0.2">
      <c r="B3391" s="161" t="s">
        <v>444</v>
      </c>
      <c r="C3391" s="158"/>
      <c r="D3391" s="156"/>
      <c r="E3391" s="156"/>
      <c r="F3391" s="159"/>
      <c r="G3391" s="160"/>
    </row>
    <row r="3392" spans="2:7" x14ac:dyDescent="0.2">
      <c r="B3392" s="236"/>
      <c r="C3392" s="185"/>
      <c r="D3392" s="181"/>
      <c r="E3392" s="314"/>
      <c r="F3392" s="222"/>
      <c r="G3392" s="315"/>
    </row>
    <row r="3393" spans="2:7" x14ac:dyDescent="0.2">
      <c r="B3393" s="157"/>
      <c r="C3393" s="158"/>
      <c r="D3393" s="156"/>
      <c r="E3393" s="156"/>
      <c r="F3393" s="159" t="s">
        <v>446</v>
      </c>
      <c r="G3393" s="183" t="s">
        <v>465</v>
      </c>
    </row>
    <row r="3394" spans="2:7" x14ac:dyDescent="0.2">
      <c r="B3394" s="161" t="s">
        <v>447</v>
      </c>
      <c r="C3394" s="158"/>
      <c r="D3394" s="156"/>
      <c r="E3394" s="156"/>
      <c r="F3394" s="159"/>
      <c r="G3394" s="160"/>
    </row>
    <row r="3395" spans="2:7" x14ac:dyDescent="0.2">
      <c r="B3395" s="419"/>
      <c r="C3395" s="495"/>
      <c r="D3395" s="496"/>
      <c r="E3395" s="159"/>
      <c r="F3395" s="159"/>
      <c r="G3395" s="497"/>
    </row>
    <row r="3396" spans="2:7" x14ac:dyDescent="0.2">
      <c r="B3396" s="157"/>
      <c r="C3396" s="158"/>
      <c r="D3396" s="156"/>
      <c r="E3396" s="156"/>
      <c r="F3396" s="159" t="s">
        <v>449</v>
      </c>
      <c r="G3396" s="173" t="s">
        <v>465</v>
      </c>
    </row>
    <row r="3397" spans="2:7" x14ac:dyDescent="0.2">
      <c r="B3397" s="161" t="s">
        <v>450</v>
      </c>
      <c r="C3397" s="158"/>
      <c r="D3397" s="156"/>
      <c r="E3397" s="156"/>
      <c r="F3397" s="159"/>
      <c r="G3397" s="160"/>
    </row>
    <row r="3398" spans="2:7" x14ac:dyDescent="0.2">
      <c r="B3398" s="236"/>
      <c r="C3398" s="185"/>
      <c r="D3398" s="181"/>
      <c r="E3398" s="186"/>
      <c r="F3398" s="222"/>
      <c r="G3398" s="315"/>
    </row>
    <row r="3399" spans="2:7" x14ac:dyDescent="0.2">
      <c r="B3399" s="157"/>
      <c r="C3399" s="158"/>
      <c r="D3399" s="156"/>
      <c r="E3399" s="156"/>
      <c r="F3399" s="159" t="s">
        <v>452</v>
      </c>
      <c r="G3399" s="183" t="s">
        <v>465</v>
      </c>
    </row>
    <row r="3400" spans="2:7" x14ac:dyDescent="0.2">
      <c r="B3400" s="161" t="s">
        <v>453</v>
      </c>
      <c r="C3400" s="158"/>
      <c r="D3400" s="156"/>
      <c r="E3400" s="156"/>
      <c r="F3400" s="159"/>
      <c r="G3400" s="160"/>
    </row>
    <row r="3401" spans="2:7" x14ac:dyDescent="0.2">
      <c r="B3401" s="236"/>
      <c r="C3401" s="185"/>
      <c r="D3401" s="181"/>
      <c r="E3401" s="186"/>
      <c r="F3401" s="222"/>
      <c r="G3401" s="315"/>
    </row>
    <row r="3402" spans="2:7" x14ac:dyDescent="0.2">
      <c r="B3402" s="157"/>
      <c r="C3402" s="158"/>
      <c r="D3402" s="156"/>
      <c r="E3402" s="156"/>
      <c r="F3402" s="159" t="s">
        <v>459</v>
      </c>
      <c r="G3402" s="183" t="s">
        <v>465</v>
      </c>
    </row>
    <row r="3403" spans="2:7" x14ac:dyDescent="0.2">
      <c r="B3403" s="157"/>
      <c r="C3403" s="158"/>
      <c r="D3403" s="156"/>
      <c r="E3403" s="156"/>
      <c r="F3403" s="159"/>
      <c r="G3403" s="160"/>
    </row>
    <row r="3404" spans="2:7" ht="17" thickBot="1" x14ac:dyDescent="0.25">
      <c r="B3404" s="206"/>
      <c r="C3404" s="207"/>
      <c r="D3404" s="208"/>
      <c r="E3404" s="209" t="s">
        <v>460</v>
      </c>
      <c r="F3404" s="210">
        <v>59004.98</v>
      </c>
      <c r="G3404" s="211" t="s">
        <v>465</v>
      </c>
    </row>
    <row r="3405" spans="2:7" ht="17" thickTop="1" x14ac:dyDescent="0.2">
      <c r="B3405" s="212"/>
      <c r="C3405" s="213"/>
      <c r="D3405" s="212"/>
      <c r="E3405" s="212"/>
      <c r="F3405" s="212"/>
      <c r="G3405" s="212"/>
    </row>
    <row r="3406" spans="2:7" ht="17" thickBot="1" x14ac:dyDescent="0.25">
      <c r="B3406" s="212"/>
      <c r="C3406" s="213"/>
      <c r="D3406" s="212"/>
      <c r="E3406" s="212"/>
      <c r="F3406" s="212"/>
      <c r="G3406" s="212"/>
    </row>
    <row r="3407" spans="2:7" ht="17" thickTop="1" x14ac:dyDescent="0.2">
      <c r="B3407" s="537" t="s">
        <v>103</v>
      </c>
      <c r="C3407" s="538"/>
      <c r="D3407" s="538"/>
      <c r="E3407" s="538"/>
      <c r="F3407" s="148"/>
      <c r="G3407" s="149" t="s">
        <v>439</v>
      </c>
    </row>
    <row r="3408" spans="2:7" x14ac:dyDescent="0.2">
      <c r="B3408" s="539"/>
      <c r="C3408" s="540"/>
      <c r="D3408" s="540"/>
      <c r="E3408" s="540"/>
      <c r="F3408" s="150"/>
      <c r="G3408" s="151" t="s">
        <v>477</v>
      </c>
    </row>
    <row r="3409" spans="2:7" x14ac:dyDescent="0.2">
      <c r="B3409" s="152" t="s">
        <v>1</v>
      </c>
      <c r="C3409" s="153" t="s">
        <v>2</v>
      </c>
      <c r="D3409" s="153" t="s">
        <v>3</v>
      </c>
      <c r="E3409" s="153" t="s">
        <v>441</v>
      </c>
      <c r="F3409" s="154" t="s">
        <v>442</v>
      </c>
      <c r="G3409" s="155" t="s">
        <v>443</v>
      </c>
    </row>
    <row r="3410" spans="2:7" x14ac:dyDescent="0.2">
      <c r="B3410" s="157"/>
      <c r="C3410" s="158"/>
      <c r="D3410" s="156"/>
      <c r="E3410" s="156"/>
      <c r="F3410" s="159"/>
      <c r="G3410" s="160"/>
    </row>
    <row r="3411" spans="2:7" x14ac:dyDescent="0.2">
      <c r="B3411" s="161" t="s">
        <v>450</v>
      </c>
      <c r="C3411" s="158"/>
      <c r="D3411" s="156"/>
      <c r="E3411" s="156"/>
      <c r="F3411" s="159"/>
      <c r="G3411" s="160"/>
    </row>
    <row r="3412" spans="2:7" x14ac:dyDescent="0.2">
      <c r="B3412" s="236"/>
      <c r="C3412" s="185"/>
      <c r="D3412" s="181"/>
      <c r="E3412" s="186"/>
      <c r="F3412" s="222"/>
      <c r="G3412" s="315"/>
    </row>
    <row r="3413" spans="2:7" x14ac:dyDescent="0.2">
      <c r="B3413" s="157"/>
      <c r="C3413" s="158"/>
      <c r="D3413" s="156"/>
      <c r="E3413" s="156"/>
      <c r="F3413" s="159" t="s">
        <v>452</v>
      </c>
      <c r="G3413" s="183" t="s">
        <v>465</v>
      </c>
    </row>
    <row r="3414" spans="2:7" x14ac:dyDescent="0.2">
      <c r="B3414" s="161" t="s">
        <v>444</v>
      </c>
      <c r="C3414" s="158"/>
      <c r="D3414" s="156"/>
      <c r="E3414" s="156"/>
      <c r="F3414" s="159"/>
      <c r="G3414" s="160"/>
    </row>
    <row r="3415" spans="2:7" x14ac:dyDescent="0.2">
      <c r="B3415" s="236"/>
      <c r="C3415" s="185"/>
      <c r="D3415" s="181"/>
      <c r="E3415" s="186"/>
      <c r="F3415" s="222"/>
      <c r="G3415" s="315"/>
    </row>
    <row r="3416" spans="2:7" x14ac:dyDescent="0.2">
      <c r="B3416" s="157"/>
      <c r="C3416" s="158"/>
      <c r="D3416" s="156"/>
      <c r="E3416" s="156"/>
      <c r="F3416" s="159" t="s">
        <v>446</v>
      </c>
      <c r="G3416" s="183" t="s">
        <v>465</v>
      </c>
    </row>
    <row r="3417" spans="2:7" x14ac:dyDescent="0.2">
      <c r="B3417" s="379" t="s">
        <v>447</v>
      </c>
      <c r="C3417" s="158" t="s">
        <v>588</v>
      </c>
      <c r="D3417" s="158" t="s">
        <v>589</v>
      </c>
      <c r="E3417" s="158" t="s">
        <v>590</v>
      </c>
      <c r="F3417" s="380" t="s">
        <v>591</v>
      </c>
      <c r="G3417" s="381" t="s">
        <v>592</v>
      </c>
    </row>
    <row r="3418" spans="2:7" x14ac:dyDescent="0.2">
      <c r="B3418" s="236"/>
      <c r="C3418" s="185"/>
      <c r="D3418" s="181"/>
      <c r="E3418" s="186"/>
      <c r="F3418" s="222"/>
      <c r="G3418" s="315"/>
    </row>
    <row r="3419" spans="2:7" x14ac:dyDescent="0.2">
      <c r="B3419" s="157"/>
      <c r="C3419" s="158"/>
      <c r="D3419" s="156"/>
      <c r="E3419" s="156"/>
      <c r="F3419" s="159" t="s">
        <v>449</v>
      </c>
      <c r="G3419" s="183" t="s">
        <v>465</v>
      </c>
    </row>
    <row r="3420" spans="2:7" x14ac:dyDescent="0.2">
      <c r="B3420" s="157"/>
      <c r="C3420" s="158"/>
      <c r="D3420" s="156"/>
      <c r="E3420" s="156"/>
      <c r="F3420" s="159"/>
      <c r="G3420" s="160"/>
    </row>
    <row r="3421" spans="2:7" ht="17" thickBot="1" x14ac:dyDescent="0.25">
      <c r="B3421" s="206"/>
      <c r="C3421" s="207"/>
      <c r="D3421" s="208"/>
      <c r="E3421" s="209"/>
      <c r="F3421" s="384" t="s">
        <v>593</v>
      </c>
      <c r="G3421" s="211" t="s">
        <v>465</v>
      </c>
    </row>
    <row r="3422" spans="2:7" ht="17" thickTop="1" x14ac:dyDescent="0.2">
      <c r="B3422" s="212"/>
      <c r="C3422" s="213"/>
      <c r="D3422" s="212"/>
      <c r="E3422" s="212"/>
      <c r="F3422" s="212"/>
      <c r="G3422" s="212"/>
    </row>
    <row r="3423" spans="2:7" ht="17" thickBot="1" x14ac:dyDescent="0.25">
      <c r="B3423" s="212"/>
      <c r="C3423" s="213"/>
      <c r="D3423" s="212"/>
      <c r="E3423" s="212"/>
      <c r="F3423" s="212"/>
      <c r="G3423" s="212"/>
    </row>
    <row r="3424" spans="2:7" ht="17" thickTop="1" x14ac:dyDescent="0.2">
      <c r="B3424" s="537" t="s">
        <v>108</v>
      </c>
      <c r="C3424" s="538"/>
      <c r="D3424" s="538"/>
      <c r="E3424" s="538"/>
      <c r="F3424" s="148"/>
      <c r="G3424" s="149" t="s">
        <v>608</v>
      </c>
    </row>
    <row r="3425" spans="2:7" x14ac:dyDescent="0.2">
      <c r="B3425" s="539"/>
      <c r="C3425" s="540"/>
      <c r="D3425" s="540"/>
      <c r="E3425" s="540"/>
      <c r="F3425" s="150"/>
      <c r="G3425" s="151" t="s">
        <v>477</v>
      </c>
    </row>
    <row r="3426" spans="2:7" x14ac:dyDescent="0.2">
      <c r="B3426" s="152" t="s">
        <v>1</v>
      </c>
      <c r="C3426" s="153" t="s">
        <v>2</v>
      </c>
      <c r="D3426" s="153" t="s">
        <v>3</v>
      </c>
      <c r="E3426" s="153" t="s">
        <v>441</v>
      </c>
      <c r="F3426" s="154" t="s">
        <v>442</v>
      </c>
      <c r="G3426" s="155" t="s">
        <v>443</v>
      </c>
    </row>
    <row r="3427" spans="2:7" x14ac:dyDescent="0.2">
      <c r="B3427" s="157"/>
      <c r="C3427" s="158"/>
      <c r="D3427" s="156"/>
      <c r="E3427" s="156"/>
      <c r="F3427" s="159"/>
      <c r="G3427" s="160"/>
    </row>
    <row r="3428" spans="2:7" x14ac:dyDescent="0.2">
      <c r="B3428" s="161" t="s">
        <v>444</v>
      </c>
      <c r="C3428" s="158"/>
      <c r="D3428" s="156"/>
      <c r="E3428" s="156"/>
      <c r="F3428" s="159"/>
      <c r="G3428" s="160"/>
    </row>
    <row r="3429" spans="2:7" x14ac:dyDescent="0.2">
      <c r="B3429" s="236"/>
      <c r="C3429" s="185"/>
      <c r="D3429" s="181"/>
      <c r="E3429" s="186"/>
      <c r="F3429" s="222"/>
      <c r="G3429" s="315"/>
    </row>
    <row r="3430" spans="2:7" x14ac:dyDescent="0.2">
      <c r="B3430" s="157"/>
      <c r="C3430" s="158"/>
      <c r="D3430" s="156"/>
      <c r="E3430" s="156"/>
      <c r="F3430" s="159" t="s">
        <v>446</v>
      </c>
      <c r="G3430" s="183" t="s">
        <v>465</v>
      </c>
    </row>
    <row r="3431" spans="2:7" x14ac:dyDescent="0.2">
      <c r="B3431" s="161" t="s">
        <v>447</v>
      </c>
      <c r="C3431" s="158"/>
      <c r="D3431" s="156"/>
      <c r="E3431" s="156"/>
      <c r="F3431" s="159"/>
      <c r="G3431" s="160"/>
    </row>
    <row r="3432" spans="2:7" x14ac:dyDescent="0.2">
      <c r="B3432" s="161"/>
      <c r="C3432" s="158"/>
      <c r="D3432" s="156"/>
      <c r="E3432" s="156"/>
      <c r="F3432" s="159"/>
      <c r="G3432" s="160"/>
    </row>
    <row r="3433" spans="2:7" x14ac:dyDescent="0.2">
      <c r="B3433" s="157"/>
      <c r="C3433" s="158"/>
      <c r="D3433" s="156"/>
      <c r="E3433" s="156"/>
      <c r="F3433" s="159" t="s">
        <v>449</v>
      </c>
      <c r="G3433" s="173" t="s">
        <v>465</v>
      </c>
    </row>
    <row r="3434" spans="2:7" x14ac:dyDescent="0.2">
      <c r="B3434" s="161" t="s">
        <v>450</v>
      </c>
      <c r="C3434" s="158"/>
      <c r="D3434" s="156"/>
      <c r="E3434" s="156"/>
      <c r="F3434" s="159"/>
      <c r="G3434" s="160"/>
    </row>
    <row r="3435" spans="2:7" x14ac:dyDescent="0.2">
      <c r="B3435" s="157"/>
      <c r="C3435" s="158"/>
      <c r="D3435" s="156"/>
      <c r="E3435" s="156"/>
      <c r="F3435" s="159"/>
      <c r="G3435" s="160"/>
    </row>
    <row r="3436" spans="2:7" x14ac:dyDescent="0.2">
      <c r="B3436" s="157"/>
      <c r="C3436" s="158"/>
      <c r="D3436" s="156"/>
      <c r="E3436" s="156"/>
      <c r="F3436" s="159" t="s">
        <v>452</v>
      </c>
      <c r="G3436" s="173" t="s">
        <v>465</v>
      </c>
    </row>
    <row r="3437" spans="2:7" x14ac:dyDescent="0.2">
      <c r="B3437" s="161" t="s">
        <v>453</v>
      </c>
      <c r="C3437" s="158"/>
      <c r="D3437" s="156"/>
      <c r="E3437" s="156"/>
      <c r="F3437" s="159"/>
      <c r="G3437" s="160"/>
    </row>
    <row r="3438" spans="2:7" x14ac:dyDescent="0.2">
      <c r="B3438" s="236"/>
      <c r="C3438" s="185"/>
      <c r="D3438" s="181"/>
      <c r="E3438" s="186"/>
      <c r="F3438" s="222"/>
      <c r="G3438" s="315"/>
    </row>
    <row r="3439" spans="2:7" x14ac:dyDescent="0.2">
      <c r="B3439" s="157"/>
      <c r="C3439" s="158"/>
      <c r="D3439" s="156"/>
      <c r="E3439" s="156"/>
      <c r="F3439" s="159" t="s">
        <v>459</v>
      </c>
      <c r="G3439" s="183" t="s">
        <v>465</v>
      </c>
    </row>
    <row r="3440" spans="2:7" x14ac:dyDescent="0.2">
      <c r="B3440" s="157"/>
      <c r="C3440" s="158"/>
      <c r="D3440" s="156"/>
      <c r="E3440" s="156"/>
      <c r="F3440" s="159"/>
      <c r="G3440" s="160"/>
    </row>
    <row r="3441" spans="2:7" ht="17" thickBot="1" x14ac:dyDescent="0.25">
      <c r="B3441" s="206"/>
      <c r="C3441" s="207"/>
      <c r="D3441" s="208"/>
      <c r="E3441" s="209" t="s">
        <v>460</v>
      </c>
      <c r="F3441" s="210" t="s">
        <v>461</v>
      </c>
      <c r="G3441" s="211" t="s">
        <v>465</v>
      </c>
    </row>
    <row r="3442" spans="2:7" ht="17" thickTop="1" x14ac:dyDescent="0.2">
      <c r="B3442" s="212"/>
      <c r="C3442" s="213"/>
      <c r="D3442" s="212"/>
      <c r="E3442" s="212"/>
      <c r="F3442" s="212"/>
      <c r="G3442" s="212"/>
    </row>
    <row r="3443" spans="2:7" ht="17" thickBot="1" x14ac:dyDescent="0.25">
      <c r="B3443" s="212"/>
      <c r="C3443" s="213"/>
      <c r="D3443" s="212"/>
      <c r="E3443" s="212"/>
      <c r="F3443" s="212"/>
      <c r="G3443" s="212"/>
    </row>
    <row r="3444" spans="2:7" ht="17" thickTop="1" x14ac:dyDescent="0.2">
      <c r="B3444" s="537" t="s">
        <v>108</v>
      </c>
      <c r="C3444" s="538"/>
      <c r="D3444" s="538"/>
      <c r="E3444" s="538"/>
      <c r="F3444" s="148"/>
      <c r="G3444" s="149" t="s">
        <v>608</v>
      </c>
    </row>
    <row r="3445" spans="2:7" x14ac:dyDescent="0.2">
      <c r="B3445" s="539"/>
      <c r="C3445" s="540"/>
      <c r="D3445" s="540"/>
      <c r="E3445" s="540"/>
      <c r="F3445" s="150"/>
      <c r="G3445" s="151" t="s">
        <v>477</v>
      </c>
    </row>
    <row r="3446" spans="2:7" x14ac:dyDescent="0.2">
      <c r="B3446" s="152" t="s">
        <v>1</v>
      </c>
      <c r="C3446" s="153" t="s">
        <v>2</v>
      </c>
      <c r="D3446" s="153" t="s">
        <v>3</v>
      </c>
      <c r="E3446" s="153" t="s">
        <v>441</v>
      </c>
      <c r="F3446" s="154" t="s">
        <v>442</v>
      </c>
      <c r="G3446" s="155" t="s">
        <v>443</v>
      </c>
    </row>
    <row r="3447" spans="2:7" x14ac:dyDescent="0.2">
      <c r="B3447" s="157"/>
      <c r="C3447" s="158"/>
      <c r="D3447" s="156"/>
      <c r="E3447" s="156"/>
      <c r="F3447" s="159"/>
      <c r="G3447" s="160"/>
    </row>
    <row r="3448" spans="2:7" x14ac:dyDescent="0.2">
      <c r="B3448" s="161" t="s">
        <v>444</v>
      </c>
      <c r="C3448" s="158"/>
      <c r="D3448" s="156"/>
      <c r="E3448" s="156"/>
      <c r="F3448" s="159"/>
      <c r="G3448" s="160"/>
    </row>
    <row r="3449" spans="2:7" x14ac:dyDescent="0.2">
      <c r="B3449" s="236"/>
      <c r="C3449" s="185"/>
      <c r="D3449" s="181"/>
      <c r="E3449" s="186"/>
      <c r="F3449" s="222"/>
      <c r="G3449" s="315"/>
    </row>
    <row r="3450" spans="2:7" x14ac:dyDescent="0.2">
      <c r="B3450" s="157"/>
      <c r="C3450" s="158"/>
      <c r="D3450" s="156"/>
      <c r="E3450" s="156"/>
      <c r="F3450" s="159" t="s">
        <v>446</v>
      </c>
      <c r="G3450" s="183" t="s">
        <v>465</v>
      </c>
    </row>
    <row r="3451" spans="2:7" x14ac:dyDescent="0.2">
      <c r="B3451" s="161" t="s">
        <v>447</v>
      </c>
      <c r="C3451" s="158"/>
      <c r="D3451" s="156"/>
      <c r="E3451" s="156"/>
      <c r="F3451" s="159"/>
      <c r="G3451" s="160"/>
    </row>
    <row r="3452" spans="2:7" x14ac:dyDescent="0.2">
      <c r="B3452" s="157"/>
      <c r="C3452" s="158"/>
      <c r="D3452" s="156"/>
      <c r="E3452" s="156"/>
      <c r="F3452" s="159" t="s">
        <v>449</v>
      </c>
      <c r="G3452" s="173"/>
    </row>
    <row r="3453" spans="2:7" x14ac:dyDescent="0.2">
      <c r="B3453" s="161" t="s">
        <v>450</v>
      </c>
      <c r="C3453" s="158"/>
      <c r="D3453" s="156"/>
      <c r="E3453" s="156"/>
      <c r="F3453" s="159"/>
      <c r="G3453" s="160"/>
    </row>
    <row r="3454" spans="2:7" x14ac:dyDescent="0.2">
      <c r="B3454" s="157"/>
      <c r="C3454" s="158"/>
      <c r="D3454" s="156"/>
      <c r="E3454" s="156"/>
      <c r="F3454" s="159" t="s">
        <v>452</v>
      </c>
      <c r="G3454" s="173"/>
    </row>
    <row r="3455" spans="2:7" x14ac:dyDescent="0.2">
      <c r="B3455" s="161" t="s">
        <v>453</v>
      </c>
      <c r="C3455" s="158"/>
      <c r="D3455" s="156"/>
      <c r="E3455" s="156"/>
      <c r="F3455" s="159"/>
      <c r="G3455" s="160"/>
    </row>
    <row r="3456" spans="2:7" x14ac:dyDescent="0.2">
      <c r="B3456" s="236"/>
      <c r="C3456" s="185"/>
      <c r="D3456" s="181"/>
      <c r="E3456" s="186"/>
      <c r="F3456" s="222"/>
      <c r="G3456" s="315"/>
    </row>
    <row r="3457" spans="2:7" x14ac:dyDescent="0.2">
      <c r="B3457" s="157"/>
      <c r="C3457" s="158"/>
      <c r="D3457" s="156"/>
      <c r="E3457" s="156"/>
      <c r="F3457" s="159" t="s">
        <v>459</v>
      </c>
      <c r="G3457" s="183"/>
    </row>
    <row r="3458" spans="2:7" x14ac:dyDescent="0.2">
      <c r="B3458" s="157"/>
      <c r="C3458" s="158"/>
      <c r="D3458" s="156"/>
      <c r="E3458" s="156"/>
      <c r="F3458" s="159"/>
      <c r="G3458" s="160"/>
    </row>
    <row r="3459" spans="2:7" ht="17" thickBot="1" x14ac:dyDescent="0.25">
      <c r="B3459" s="206"/>
      <c r="C3459" s="207"/>
      <c r="D3459" s="208"/>
      <c r="E3459" s="209" t="s">
        <v>460</v>
      </c>
      <c r="F3459" s="210" t="s">
        <v>461</v>
      </c>
      <c r="G3459" s="211" t="s">
        <v>465</v>
      </c>
    </row>
    <row r="3460" spans="2:7" ht="17" thickTop="1" x14ac:dyDescent="0.2">
      <c r="B3460" s="212"/>
      <c r="C3460" s="213"/>
      <c r="D3460" s="212"/>
      <c r="E3460" s="212"/>
      <c r="F3460" s="212"/>
      <c r="G3460" s="212"/>
    </row>
    <row r="3461" spans="2:7" ht="17" thickBot="1" x14ac:dyDescent="0.25">
      <c r="B3461" s="212"/>
      <c r="C3461" s="213"/>
      <c r="D3461" s="212"/>
      <c r="E3461" s="212"/>
      <c r="F3461" s="212"/>
      <c r="G3461" s="212"/>
    </row>
    <row r="3462" spans="2:7" ht="17" thickTop="1" x14ac:dyDescent="0.2">
      <c r="B3462" s="541" t="s">
        <v>120</v>
      </c>
      <c r="C3462" s="542"/>
      <c r="D3462" s="542"/>
      <c r="E3462" s="542"/>
      <c r="F3462" s="416"/>
      <c r="G3462" s="417" t="s">
        <v>618</v>
      </c>
    </row>
    <row r="3463" spans="2:7" x14ac:dyDescent="0.2">
      <c r="B3463" s="543"/>
      <c r="C3463" s="544"/>
      <c r="D3463" s="544"/>
      <c r="E3463" s="544"/>
      <c r="F3463" s="213"/>
      <c r="G3463" s="418" t="s">
        <v>477</v>
      </c>
    </row>
    <row r="3464" spans="2:7" x14ac:dyDescent="0.2">
      <c r="B3464" s="200" t="s">
        <v>1</v>
      </c>
      <c r="C3464" s="169" t="s">
        <v>2</v>
      </c>
      <c r="D3464" s="170" t="s">
        <v>3</v>
      </c>
      <c r="E3464" s="170" t="s">
        <v>441</v>
      </c>
      <c r="F3464" s="222" t="s">
        <v>442</v>
      </c>
      <c r="G3464" s="315" t="s">
        <v>443</v>
      </c>
    </row>
    <row r="3465" spans="2:7" x14ac:dyDescent="0.2">
      <c r="B3465" s="419"/>
      <c r="C3465" s="420"/>
      <c r="D3465" s="421"/>
      <c r="E3465" s="421"/>
      <c r="F3465" s="422"/>
      <c r="G3465" s="350"/>
    </row>
    <row r="3466" spans="2:7" x14ac:dyDescent="0.2">
      <c r="B3466" s="423" t="s">
        <v>444</v>
      </c>
      <c r="C3466" s="420"/>
      <c r="D3466" s="421"/>
      <c r="E3466" s="421"/>
      <c r="F3466" s="422"/>
      <c r="G3466" s="350"/>
    </row>
    <row r="3467" spans="2:7" x14ac:dyDescent="0.2">
      <c r="B3467" s="184"/>
      <c r="C3467" s="185"/>
      <c r="D3467" s="424"/>
      <c r="E3467" s="186"/>
      <c r="F3467" s="222"/>
      <c r="G3467" s="315"/>
    </row>
    <row r="3468" spans="2:7" x14ac:dyDescent="0.2">
      <c r="B3468" s="419"/>
      <c r="C3468" s="420"/>
      <c r="D3468" s="421"/>
      <c r="E3468" s="421"/>
      <c r="F3468" s="422" t="s">
        <v>446</v>
      </c>
      <c r="G3468" s="425" t="s">
        <v>465</v>
      </c>
    </row>
    <row r="3469" spans="2:7" x14ac:dyDescent="0.2">
      <c r="B3469" s="426" t="s">
        <v>447</v>
      </c>
      <c r="C3469" s="420" t="s">
        <v>588</v>
      </c>
      <c r="D3469" s="420" t="s">
        <v>589</v>
      </c>
      <c r="E3469" s="420" t="s">
        <v>590</v>
      </c>
      <c r="F3469" s="427" t="s">
        <v>619</v>
      </c>
      <c r="G3469" s="428" t="s">
        <v>592</v>
      </c>
    </row>
    <row r="3470" spans="2:7" x14ac:dyDescent="0.2">
      <c r="B3470" s="426"/>
      <c r="C3470" s="420"/>
      <c r="D3470" s="420"/>
      <c r="E3470" s="420"/>
      <c r="F3470" s="427"/>
      <c r="G3470" s="428"/>
    </row>
    <row r="3471" spans="2:7" x14ac:dyDescent="0.2">
      <c r="B3471" s="419"/>
      <c r="C3471" s="420"/>
      <c r="D3471" s="421"/>
      <c r="E3471" s="421"/>
      <c r="F3471" s="422" t="s">
        <v>621</v>
      </c>
      <c r="G3471" s="425" t="s">
        <v>465</v>
      </c>
    </row>
    <row r="3472" spans="2:7" x14ac:dyDescent="0.2">
      <c r="B3472" s="423" t="s">
        <v>450</v>
      </c>
      <c r="C3472" s="420"/>
      <c r="D3472" s="421"/>
      <c r="E3472" s="421"/>
      <c r="F3472" s="422"/>
      <c r="G3472" s="350"/>
    </row>
    <row r="3473" spans="2:7" x14ac:dyDescent="0.2">
      <c r="B3473" s="423"/>
      <c r="C3473" s="420"/>
      <c r="D3473" s="421"/>
      <c r="E3473" s="421"/>
      <c r="F3473" s="422"/>
      <c r="G3473" s="350"/>
    </row>
    <row r="3474" spans="2:7" x14ac:dyDescent="0.2">
      <c r="B3474" s="419"/>
      <c r="C3474" s="420"/>
      <c r="D3474" s="421"/>
      <c r="E3474" s="421"/>
      <c r="F3474" s="422" t="s">
        <v>624</v>
      </c>
      <c r="G3474" s="425" t="s">
        <v>465</v>
      </c>
    </row>
    <row r="3475" spans="2:7" x14ac:dyDescent="0.2">
      <c r="B3475" s="423" t="s">
        <v>625</v>
      </c>
      <c r="C3475" s="420"/>
      <c r="D3475" s="421"/>
      <c r="E3475" s="421"/>
      <c r="F3475" s="422"/>
      <c r="G3475" s="350"/>
    </row>
    <row r="3476" spans="2:7" x14ac:dyDescent="0.2">
      <c r="B3476" s="419"/>
      <c r="C3476" s="420"/>
      <c r="D3476" s="421"/>
      <c r="E3476" s="421"/>
      <c r="F3476" s="422" t="s">
        <v>628</v>
      </c>
      <c r="G3476" s="443" t="s">
        <v>465</v>
      </c>
    </row>
    <row r="3477" spans="2:7" x14ac:dyDescent="0.2">
      <c r="B3477" s="419"/>
      <c r="C3477" s="420"/>
      <c r="D3477" s="421"/>
      <c r="E3477" s="421"/>
      <c r="F3477" s="422"/>
      <c r="G3477" s="350"/>
    </row>
    <row r="3478" spans="2:7" ht="17" thickBot="1" x14ac:dyDescent="0.25">
      <c r="B3478" s="444"/>
      <c r="C3478" s="445"/>
      <c r="D3478" s="446"/>
      <c r="E3478" s="447" t="s">
        <v>460</v>
      </c>
      <c r="F3478" s="448" t="s">
        <v>461</v>
      </c>
      <c r="G3478" s="449" t="s">
        <v>465</v>
      </c>
    </row>
    <row r="3479" spans="2:7" ht="18" thickTop="1" thickBot="1" x14ac:dyDescent="0.25">
      <c r="B3479" s="498"/>
      <c r="C3479" s="499"/>
      <c r="D3479" s="446"/>
      <c r="E3479" s="447" t="s">
        <v>647</v>
      </c>
      <c r="F3479" s="500" t="s">
        <v>461</v>
      </c>
      <c r="G3479" s="449" t="s">
        <v>465</v>
      </c>
    </row>
    <row r="3480" spans="2:7" ht="17" thickTop="1" x14ac:dyDescent="0.2">
      <c r="B3480" s="212"/>
      <c r="C3480" s="213"/>
      <c r="D3480" s="212"/>
      <c r="E3480" s="212"/>
      <c r="F3480" s="212"/>
      <c r="G3480" s="212"/>
    </row>
    <row r="3481" spans="2:7" ht="17" thickBot="1" x14ac:dyDescent="0.25">
      <c r="B3481" s="212"/>
      <c r="C3481" s="213"/>
      <c r="D3481" s="212"/>
      <c r="E3481" s="212"/>
      <c r="F3481" s="212"/>
      <c r="G3481" s="212"/>
    </row>
    <row r="3482" spans="2:7" ht="17" thickTop="1" x14ac:dyDescent="0.2">
      <c r="B3482" s="541" t="s">
        <v>132</v>
      </c>
      <c r="C3482" s="542"/>
      <c r="D3482" s="542"/>
      <c r="E3482" s="542"/>
      <c r="F3482" s="416"/>
      <c r="G3482" s="417" t="s">
        <v>635</v>
      </c>
    </row>
    <row r="3483" spans="2:7" x14ac:dyDescent="0.2">
      <c r="B3483" s="543"/>
      <c r="C3483" s="544"/>
      <c r="D3483" s="544"/>
      <c r="E3483" s="544"/>
      <c r="F3483" s="213"/>
      <c r="G3483" s="418" t="s">
        <v>477</v>
      </c>
    </row>
    <row r="3484" spans="2:7" x14ac:dyDescent="0.2">
      <c r="B3484" s="200" t="s">
        <v>1</v>
      </c>
      <c r="C3484" s="169" t="s">
        <v>2</v>
      </c>
      <c r="D3484" s="170" t="s">
        <v>3</v>
      </c>
      <c r="E3484" s="170" t="s">
        <v>441</v>
      </c>
      <c r="F3484" s="222" t="s">
        <v>442</v>
      </c>
      <c r="G3484" s="315" t="s">
        <v>443</v>
      </c>
    </row>
    <row r="3485" spans="2:7" x14ac:dyDescent="0.2">
      <c r="B3485" s="419"/>
      <c r="C3485" s="420"/>
      <c r="D3485" s="421"/>
      <c r="E3485" s="421"/>
      <c r="F3485" s="422"/>
      <c r="G3485" s="350"/>
    </row>
    <row r="3486" spans="2:7" x14ac:dyDescent="0.2">
      <c r="B3486" s="423" t="s">
        <v>444</v>
      </c>
      <c r="C3486" s="420"/>
      <c r="D3486" s="421"/>
      <c r="E3486" s="421"/>
      <c r="F3486" s="422"/>
      <c r="G3486" s="350"/>
    </row>
    <row r="3487" spans="2:7" x14ac:dyDescent="0.2">
      <c r="B3487" s="184"/>
      <c r="C3487" s="185"/>
      <c r="D3487" s="424"/>
      <c r="E3487" s="186"/>
      <c r="F3487" s="222"/>
      <c r="G3487" s="315"/>
    </row>
    <row r="3488" spans="2:7" x14ac:dyDescent="0.2">
      <c r="B3488" s="419"/>
      <c r="C3488" s="420"/>
      <c r="D3488" s="421"/>
      <c r="E3488" s="421"/>
      <c r="F3488" s="422" t="s">
        <v>446</v>
      </c>
      <c r="G3488" s="425" t="s">
        <v>465</v>
      </c>
    </row>
    <row r="3489" spans="2:7" x14ac:dyDescent="0.2">
      <c r="B3489" s="426" t="s">
        <v>447</v>
      </c>
      <c r="C3489" s="420" t="s">
        <v>588</v>
      </c>
      <c r="D3489" s="420" t="s">
        <v>589</v>
      </c>
      <c r="E3489" s="420" t="s">
        <v>590</v>
      </c>
      <c r="F3489" s="427" t="s">
        <v>619</v>
      </c>
      <c r="G3489" s="428" t="s">
        <v>592</v>
      </c>
    </row>
    <row r="3490" spans="2:7" x14ac:dyDescent="0.2">
      <c r="B3490" s="461" t="s">
        <v>631</v>
      </c>
      <c r="C3490" s="462">
        <v>380776</v>
      </c>
      <c r="D3490" s="181">
        <v>1.47</v>
      </c>
      <c r="E3490" s="396">
        <v>559740</v>
      </c>
      <c r="F3490" s="397">
        <v>0.28999999999999998</v>
      </c>
      <c r="G3490" s="463">
        <v>162324.6</v>
      </c>
    </row>
    <row r="3491" spans="2:7" x14ac:dyDescent="0.2">
      <c r="B3491" s="168" t="s">
        <v>524</v>
      </c>
      <c r="C3491" s="462">
        <v>107473.5</v>
      </c>
      <c r="D3491" s="415">
        <v>1.47</v>
      </c>
      <c r="E3491" s="464">
        <v>157986</v>
      </c>
      <c r="F3491" s="465">
        <v>0.28999999999999998</v>
      </c>
      <c r="G3491" s="311">
        <v>45815.94</v>
      </c>
    </row>
    <row r="3492" spans="2:7" x14ac:dyDescent="0.2">
      <c r="B3492" s="259" t="s">
        <v>629</v>
      </c>
      <c r="C3492" s="451">
        <v>272539.5</v>
      </c>
      <c r="D3492" s="415">
        <v>1.47</v>
      </c>
      <c r="E3492" s="363">
        <v>400633</v>
      </c>
      <c r="F3492" s="465">
        <v>0.10150000000000001</v>
      </c>
      <c r="G3492" s="182">
        <v>40664.25</v>
      </c>
    </row>
    <row r="3493" spans="2:7" x14ac:dyDescent="0.2">
      <c r="B3493" s="419"/>
      <c r="C3493" s="420"/>
      <c r="D3493" s="421"/>
      <c r="E3493" s="421"/>
      <c r="F3493" s="422" t="s">
        <v>621</v>
      </c>
      <c r="G3493" s="425">
        <v>248804.79</v>
      </c>
    </row>
    <row r="3494" spans="2:7" x14ac:dyDescent="0.2">
      <c r="B3494" s="423" t="s">
        <v>450</v>
      </c>
      <c r="C3494" s="420"/>
      <c r="D3494" s="421"/>
      <c r="E3494" s="421"/>
      <c r="F3494" s="422"/>
      <c r="G3494" s="350"/>
    </row>
    <row r="3495" spans="2:7" x14ac:dyDescent="0.2">
      <c r="B3495" s="184" t="s">
        <v>551</v>
      </c>
      <c r="C3495" s="185" t="s">
        <v>114</v>
      </c>
      <c r="D3495" s="501">
        <v>1.6000000000000001E-3</v>
      </c>
      <c r="E3495" s="186"/>
      <c r="F3495" s="193">
        <v>1000</v>
      </c>
      <c r="G3495" s="315">
        <v>1.58</v>
      </c>
    </row>
    <row r="3496" spans="2:7" x14ac:dyDescent="0.2">
      <c r="B3496" s="200" t="s">
        <v>569</v>
      </c>
      <c r="C3496" s="185" t="s">
        <v>114</v>
      </c>
      <c r="D3496" s="501">
        <v>2.5999999999999999E-3</v>
      </c>
      <c r="E3496" s="186"/>
      <c r="F3496" s="193">
        <v>3700</v>
      </c>
      <c r="G3496" s="182">
        <v>9.7899999999999991</v>
      </c>
    </row>
    <row r="3497" spans="2:7" x14ac:dyDescent="0.2">
      <c r="B3497" s="419"/>
      <c r="C3497" s="420"/>
      <c r="D3497" s="421"/>
      <c r="E3497" s="421"/>
      <c r="F3497" s="422" t="s">
        <v>624</v>
      </c>
      <c r="G3497" s="425">
        <v>11.37</v>
      </c>
    </row>
    <row r="3498" spans="2:7" x14ac:dyDescent="0.2">
      <c r="B3498" s="423" t="s">
        <v>625</v>
      </c>
      <c r="C3498" s="420"/>
      <c r="D3498" s="421"/>
      <c r="E3498" s="421"/>
      <c r="F3498" s="422"/>
      <c r="G3498" s="350"/>
    </row>
    <row r="3499" spans="2:7" x14ac:dyDescent="0.2">
      <c r="B3499" s="184" t="s">
        <v>626</v>
      </c>
      <c r="C3499" s="185" t="s">
        <v>114</v>
      </c>
      <c r="D3499" s="484">
        <v>0.28999999999999998</v>
      </c>
      <c r="E3499" s="186"/>
      <c r="F3499" s="193">
        <v>150000</v>
      </c>
      <c r="G3499" s="315">
        <v>43500</v>
      </c>
    </row>
    <row r="3500" spans="2:7" x14ac:dyDescent="0.2">
      <c r="B3500" s="200" t="s">
        <v>627</v>
      </c>
      <c r="C3500" s="185" t="s">
        <v>114</v>
      </c>
      <c r="D3500" s="485">
        <v>2.9</v>
      </c>
      <c r="E3500" s="186"/>
      <c r="F3500" s="193">
        <v>6000</v>
      </c>
      <c r="G3500" s="182">
        <v>17400</v>
      </c>
    </row>
    <row r="3501" spans="2:7" x14ac:dyDescent="0.2">
      <c r="B3501" s="239" t="s">
        <v>455</v>
      </c>
      <c r="C3501" s="468" t="s">
        <v>456</v>
      </c>
      <c r="D3501" s="453"/>
      <c r="E3501" s="441"/>
      <c r="F3501" s="442"/>
      <c r="G3501" s="311" t="s">
        <v>465</v>
      </c>
    </row>
    <row r="3502" spans="2:7" x14ac:dyDescent="0.2">
      <c r="B3502" s="419"/>
      <c r="C3502" s="420"/>
      <c r="D3502" s="421"/>
      <c r="E3502" s="421"/>
      <c r="F3502" s="422" t="s">
        <v>628</v>
      </c>
      <c r="G3502" s="443">
        <v>60900</v>
      </c>
    </row>
    <row r="3503" spans="2:7" x14ac:dyDescent="0.2">
      <c r="B3503" s="419"/>
      <c r="C3503" s="420"/>
      <c r="D3503" s="421"/>
      <c r="E3503" s="421"/>
      <c r="F3503" s="422"/>
      <c r="G3503" s="350"/>
    </row>
    <row r="3504" spans="2:7" ht="17" thickBot="1" x14ac:dyDescent="0.25">
      <c r="B3504" s="444"/>
      <c r="C3504" s="445"/>
      <c r="D3504" s="446"/>
      <c r="E3504" s="447" t="s">
        <v>460</v>
      </c>
      <c r="F3504" s="448">
        <v>309716.15999999997</v>
      </c>
      <c r="G3504" s="449">
        <v>309716</v>
      </c>
    </row>
    <row r="3505" spans="2:7" ht="17" thickTop="1" x14ac:dyDescent="0.2">
      <c r="B3505" s="212"/>
      <c r="C3505" s="213"/>
      <c r="D3505" s="212"/>
      <c r="E3505" s="212"/>
      <c r="F3505" s="212"/>
      <c r="G3505" s="212"/>
    </row>
    <row r="3506" spans="2:7" ht="17" thickBot="1" x14ac:dyDescent="0.25">
      <c r="B3506" s="212"/>
      <c r="C3506" s="213"/>
      <c r="D3506" s="212"/>
      <c r="E3506" s="212"/>
      <c r="F3506" s="212"/>
      <c r="G3506" s="212"/>
    </row>
    <row r="3507" spans="2:7" ht="17" thickTop="1" x14ac:dyDescent="0.2">
      <c r="B3507" s="541" t="s">
        <v>133</v>
      </c>
      <c r="C3507" s="542"/>
      <c r="D3507" s="542"/>
      <c r="E3507" s="542"/>
      <c r="F3507" s="416"/>
      <c r="G3507" s="417" t="s">
        <v>635</v>
      </c>
    </row>
    <row r="3508" spans="2:7" x14ac:dyDescent="0.2">
      <c r="B3508" s="543"/>
      <c r="C3508" s="544"/>
      <c r="D3508" s="544"/>
      <c r="E3508" s="544"/>
      <c r="F3508" s="213"/>
      <c r="G3508" s="418" t="s">
        <v>477</v>
      </c>
    </row>
    <row r="3509" spans="2:7" x14ac:dyDescent="0.2">
      <c r="B3509" s="200" t="s">
        <v>1</v>
      </c>
      <c r="C3509" s="169" t="s">
        <v>2</v>
      </c>
      <c r="D3509" s="170" t="s">
        <v>3</v>
      </c>
      <c r="E3509" s="170" t="s">
        <v>441</v>
      </c>
      <c r="F3509" s="222" t="s">
        <v>442</v>
      </c>
      <c r="G3509" s="315" t="s">
        <v>443</v>
      </c>
    </row>
    <row r="3510" spans="2:7" x14ac:dyDescent="0.2">
      <c r="B3510" s="419"/>
      <c r="C3510" s="420"/>
      <c r="D3510" s="421"/>
      <c r="E3510" s="421"/>
      <c r="F3510" s="422"/>
      <c r="G3510" s="350"/>
    </row>
    <row r="3511" spans="2:7" x14ac:dyDescent="0.2">
      <c r="B3511" s="423" t="s">
        <v>444</v>
      </c>
      <c r="C3511" s="420"/>
      <c r="D3511" s="421"/>
      <c r="E3511" s="421"/>
      <c r="F3511" s="422"/>
      <c r="G3511" s="350"/>
    </row>
    <row r="3512" spans="2:7" x14ac:dyDescent="0.2">
      <c r="B3512" s="184"/>
      <c r="C3512" s="185"/>
      <c r="D3512" s="424"/>
      <c r="E3512" s="186"/>
      <c r="F3512" s="222"/>
      <c r="G3512" s="315"/>
    </row>
    <row r="3513" spans="2:7" x14ac:dyDescent="0.2">
      <c r="B3513" s="419"/>
      <c r="C3513" s="420"/>
      <c r="D3513" s="421"/>
      <c r="E3513" s="421"/>
      <c r="F3513" s="422" t="s">
        <v>446</v>
      </c>
      <c r="G3513" s="425" t="s">
        <v>465</v>
      </c>
    </row>
    <row r="3514" spans="2:7" x14ac:dyDescent="0.2">
      <c r="B3514" s="426" t="s">
        <v>447</v>
      </c>
      <c r="C3514" s="420" t="s">
        <v>588</v>
      </c>
      <c r="D3514" s="420" t="s">
        <v>589</v>
      </c>
      <c r="E3514" s="420" t="s">
        <v>590</v>
      </c>
      <c r="F3514" s="427" t="s">
        <v>619</v>
      </c>
      <c r="G3514" s="428" t="s">
        <v>592</v>
      </c>
    </row>
    <row r="3515" spans="2:7" x14ac:dyDescent="0.2">
      <c r="B3515" s="461" t="s">
        <v>631</v>
      </c>
      <c r="C3515" s="462">
        <v>380776</v>
      </c>
      <c r="D3515" s="181">
        <v>1.47</v>
      </c>
      <c r="E3515" s="396">
        <v>559740</v>
      </c>
      <c r="F3515" s="397">
        <v>0.57999999999999996</v>
      </c>
      <c r="G3515" s="463">
        <v>324649.2</v>
      </c>
    </row>
    <row r="3516" spans="2:7" x14ac:dyDescent="0.2">
      <c r="B3516" s="168" t="s">
        <v>524</v>
      </c>
      <c r="C3516" s="462">
        <v>107473.5</v>
      </c>
      <c r="D3516" s="415">
        <v>1.47</v>
      </c>
      <c r="E3516" s="464">
        <v>157986</v>
      </c>
      <c r="F3516" s="465">
        <v>0.57999999999999996</v>
      </c>
      <c r="G3516" s="311">
        <v>91631.88</v>
      </c>
    </row>
    <row r="3517" spans="2:7" x14ac:dyDescent="0.2">
      <c r="B3517" s="259" t="s">
        <v>629</v>
      </c>
      <c r="C3517" s="451">
        <v>272539.5</v>
      </c>
      <c r="D3517" s="415">
        <v>1.47</v>
      </c>
      <c r="E3517" s="363">
        <v>400633</v>
      </c>
      <c r="F3517" s="465">
        <v>0.20300000000000001</v>
      </c>
      <c r="G3517" s="182">
        <v>81328.5</v>
      </c>
    </row>
    <row r="3518" spans="2:7" x14ac:dyDescent="0.2">
      <c r="B3518" s="419"/>
      <c r="C3518" s="420"/>
      <c r="D3518" s="421"/>
      <c r="E3518" s="421"/>
      <c r="F3518" s="422" t="s">
        <v>621</v>
      </c>
      <c r="G3518" s="425">
        <v>497609.58</v>
      </c>
    </row>
    <row r="3519" spans="2:7" x14ac:dyDescent="0.2">
      <c r="B3519" s="423" t="s">
        <v>450</v>
      </c>
      <c r="C3519" s="420"/>
      <c r="D3519" s="421"/>
      <c r="E3519" s="421"/>
      <c r="F3519" s="422"/>
      <c r="G3519" s="350"/>
    </row>
    <row r="3520" spans="2:7" x14ac:dyDescent="0.2">
      <c r="B3520" s="184" t="s">
        <v>551</v>
      </c>
      <c r="C3520" s="185" t="s">
        <v>114</v>
      </c>
      <c r="D3520" s="501">
        <v>3.2000000000000002E-3</v>
      </c>
      <c r="E3520" s="186"/>
      <c r="F3520" s="193">
        <v>1000</v>
      </c>
      <c r="G3520" s="315">
        <v>3.17</v>
      </c>
    </row>
    <row r="3521" spans="2:7" x14ac:dyDescent="0.2">
      <c r="B3521" s="200" t="s">
        <v>569</v>
      </c>
      <c r="C3521" s="185" t="s">
        <v>114</v>
      </c>
      <c r="D3521" s="501">
        <v>5.3E-3</v>
      </c>
      <c r="E3521" s="186"/>
      <c r="F3521" s="193">
        <v>3700</v>
      </c>
      <c r="G3521" s="182">
        <v>19.59</v>
      </c>
    </row>
    <row r="3522" spans="2:7" x14ac:dyDescent="0.2">
      <c r="B3522" s="419"/>
      <c r="C3522" s="420"/>
      <c r="D3522" s="421"/>
      <c r="E3522" s="421"/>
      <c r="F3522" s="422" t="s">
        <v>624</v>
      </c>
      <c r="G3522" s="425">
        <v>22.76</v>
      </c>
    </row>
    <row r="3523" spans="2:7" x14ac:dyDescent="0.2">
      <c r="B3523" s="423" t="s">
        <v>625</v>
      </c>
      <c r="C3523" s="420"/>
      <c r="D3523" s="421"/>
      <c r="E3523" s="421"/>
      <c r="F3523" s="422"/>
      <c r="G3523" s="350"/>
    </row>
    <row r="3524" spans="2:7" x14ac:dyDescent="0.2">
      <c r="B3524" s="184" t="s">
        <v>626</v>
      </c>
      <c r="C3524" s="185" t="s">
        <v>114</v>
      </c>
      <c r="D3524" s="484">
        <v>0.57999999999999996</v>
      </c>
      <c r="E3524" s="186"/>
      <c r="F3524" s="193">
        <v>150000</v>
      </c>
      <c r="G3524" s="315">
        <v>87000</v>
      </c>
    </row>
    <row r="3525" spans="2:7" x14ac:dyDescent="0.2">
      <c r="B3525" s="200" t="s">
        <v>627</v>
      </c>
      <c r="C3525" s="185" t="s">
        <v>114</v>
      </c>
      <c r="D3525" s="485">
        <v>5.8</v>
      </c>
      <c r="E3525" s="186"/>
      <c r="F3525" s="193">
        <v>6000</v>
      </c>
      <c r="G3525" s="182">
        <v>34800</v>
      </c>
    </row>
    <row r="3526" spans="2:7" x14ac:dyDescent="0.2">
      <c r="B3526" s="239" t="s">
        <v>455</v>
      </c>
      <c r="C3526" s="468" t="s">
        <v>456</v>
      </c>
      <c r="D3526" s="453"/>
      <c r="E3526" s="441"/>
      <c r="F3526" s="442"/>
      <c r="G3526" s="311" t="s">
        <v>465</v>
      </c>
    </row>
    <row r="3527" spans="2:7" x14ac:dyDescent="0.2">
      <c r="B3527" s="419"/>
      <c r="C3527" s="420"/>
      <c r="D3527" s="421"/>
      <c r="E3527" s="421"/>
      <c r="F3527" s="422" t="s">
        <v>628</v>
      </c>
      <c r="G3527" s="443">
        <v>121800</v>
      </c>
    </row>
    <row r="3528" spans="2:7" x14ac:dyDescent="0.2">
      <c r="B3528" s="419"/>
      <c r="C3528" s="420"/>
      <c r="D3528" s="421"/>
      <c r="E3528" s="421"/>
      <c r="F3528" s="422"/>
      <c r="G3528" s="350"/>
    </row>
    <row r="3529" spans="2:7" ht="17" thickBot="1" x14ac:dyDescent="0.25">
      <c r="B3529" s="444"/>
      <c r="C3529" s="445"/>
      <c r="D3529" s="446"/>
      <c r="E3529" s="447" t="s">
        <v>460</v>
      </c>
      <c r="F3529" s="448">
        <v>619432.34</v>
      </c>
      <c r="G3529" s="449">
        <v>619432</v>
      </c>
    </row>
    <row r="3530" spans="2:7" ht="17" thickTop="1" x14ac:dyDescent="0.2">
      <c r="B3530" s="212"/>
      <c r="C3530" s="213"/>
      <c r="D3530" s="212"/>
      <c r="E3530" s="212"/>
      <c r="F3530" s="212"/>
      <c r="G3530" s="212"/>
    </row>
    <row r="3531" spans="2:7" ht="17" thickBot="1" x14ac:dyDescent="0.25">
      <c r="B3531" s="212"/>
      <c r="C3531" s="213"/>
      <c r="D3531" s="212"/>
      <c r="E3531" s="212"/>
      <c r="F3531" s="212"/>
      <c r="G3531" s="212"/>
    </row>
    <row r="3532" spans="2:7" ht="17" thickTop="1" x14ac:dyDescent="0.2">
      <c r="B3532" s="541" t="s">
        <v>134</v>
      </c>
      <c r="C3532" s="542"/>
      <c r="D3532" s="542"/>
      <c r="E3532" s="542"/>
      <c r="F3532" s="416"/>
      <c r="G3532" s="417" t="s">
        <v>635</v>
      </c>
    </row>
    <row r="3533" spans="2:7" x14ac:dyDescent="0.2">
      <c r="B3533" s="543"/>
      <c r="C3533" s="544"/>
      <c r="D3533" s="544"/>
      <c r="E3533" s="544"/>
      <c r="F3533" s="213"/>
      <c r="G3533" s="418" t="s">
        <v>477</v>
      </c>
    </row>
    <row r="3534" spans="2:7" x14ac:dyDescent="0.2">
      <c r="B3534" s="200" t="s">
        <v>1</v>
      </c>
      <c r="C3534" s="169" t="s">
        <v>2</v>
      </c>
      <c r="D3534" s="170" t="s">
        <v>3</v>
      </c>
      <c r="E3534" s="170" t="s">
        <v>441</v>
      </c>
      <c r="F3534" s="222" t="s">
        <v>442</v>
      </c>
      <c r="G3534" s="315" t="s">
        <v>443</v>
      </c>
    </row>
    <row r="3535" spans="2:7" x14ac:dyDescent="0.2">
      <c r="B3535" s="419"/>
      <c r="C3535" s="420"/>
      <c r="D3535" s="421"/>
      <c r="E3535" s="421"/>
      <c r="F3535" s="422"/>
      <c r="G3535" s="350"/>
    </row>
    <row r="3536" spans="2:7" x14ac:dyDescent="0.2">
      <c r="B3536" s="423" t="s">
        <v>444</v>
      </c>
      <c r="C3536" s="420"/>
      <c r="D3536" s="421"/>
      <c r="E3536" s="421"/>
      <c r="F3536" s="422"/>
      <c r="G3536" s="350"/>
    </row>
    <row r="3537" spans="2:7" x14ac:dyDescent="0.2">
      <c r="B3537" s="184"/>
      <c r="C3537" s="185"/>
      <c r="D3537" s="424"/>
      <c r="E3537" s="186"/>
      <c r="F3537" s="222"/>
      <c r="G3537" s="315"/>
    </row>
    <row r="3538" spans="2:7" x14ac:dyDescent="0.2">
      <c r="B3538" s="419"/>
      <c r="C3538" s="420"/>
      <c r="D3538" s="421"/>
      <c r="E3538" s="421"/>
      <c r="F3538" s="422" t="s">
        <v>446</v>
      </c>
      <c r="G3538" s="425" t="s">
        <v>465</v>
      </c>
    </row>
    <row r="3539" spans="2:7" x14ac:dyDescent="0.2">
      <c r="B3539" s="426" t="s">
        <v>447</v>
      </c>
      <c r="C3539" s="420" t="s">
        <v>588</v>
      </c>
      <c r="D3539" s="420" t="s">
        <v>589</v>
      </c>
      <c r="E3539" s="420" t="s">
        <v>590</v>
      </c>
      <c r="F3539" s="427" t="s">
        <v>619</v>
      </c>
      <c r="G3539" s="428" t="s">
        <v>592</v>
      </c>
    </row>
    <row r="3540" spans="2:7" x14ac:dyDescent="0.2">
      <c r="B3540" s="461" t="s">
        <v>631</v>
      </c>
      <c r="C3540" s="462">
        <v>380776</v>
      </c>
      <c r="D3540" s="181">
        <v>1.47</v>
      </c>
      <c r="E3540" s="396">
        <v>559740</v>
      </c>
      <c r="F3540" s="397">
        <v>12</v>
      </c>
      <c r="G3540" s="463">
        <v>6716880</v>
      </c>
    </row>
    <row r="3541" spans="2:7" x14ac:dyDescent="0.2">
      <c r="B3541" s="168" t="s">
        <v>524</v>
      </c>
      <c r="C3541" s="462">
        <v>107473.5</v>
      </c>
      <c r="D3541" s="415">
        <v>1.47</v>
      </c>
      <c r="E3541" s="464">
        <v>157986</v>
      </c>
      <c r="F3541" s="465">
        <v>12</v>
      </c>
      <c r="G3541" s="466">
        <v>1895832</v>
      </c>
    </row>
    <row r="3542" spans="2:7" x14ac:dyDescent="0.2">
      <c r="B3542" s="259" t="s">
        <v>629</v>
      </c>
      <c r="C3542" s="451">
        <v>272539.5</v>
      </c>
      <c r="D3542" s="415">
        <v>1.47</v>
      </c>
      <c r="E3542" s="363">
        <v>400633</v>
      </c>
      <c r="F3542" s="465">
        <v>4.2</v>
      </c>
      <c r="G3542" s="279">
        <v>1682658.6</v>
      </c>
    </row>
    <row r="3543" spans="2:7" x14ac:dyDescent="0.2">
      <c r="B3543" s="419"/>
      <c r="C3543" s="420"/>
      <c r="D3543" s="421"/>
      <c r="E3543" s="421"/>
      <c r="F3543" s="422" t="s">
        <v>621</v>
      </c>
      <c r="G3543" s="425">
        <v>10295370.6</v>
      </c>
    </row>
    <row r="3544" spans="2:7" x14ac:dyDescent="0.2">
      <c r="B3544" s="423" t="s">
        <v>450</v>
      </c>
      <c r="C3544" s="420"/>
      <c r="D3544" s="421"/>
      <c r="E3544" s="421"/>
      <c r="F3544" s="422"/>
      <c r="G3544" s="350"/>
    </row>
    <row r="3545" spans="2:7" x14ac:dyDescent="0.2">
      <c r="B3545" s="184" t="s">
        <v>551</v>
      </c>
      <c r="C3545" s="185" t="s">
        <v>114</v>
      </c>
      <c r="D3545" s="501">
        <v>5.0000000000000001E-4</v>
      </c>
      <c r="E3545" s="186"/>
      <c r="F3545" s="193">
        <v>1000</v>
      </c>
      <c r="G3545" s="315">
        <v>0.45</v>
      </c>
    </row>
    <row r="3546" spans="2:7" x14ac:dyDescent="0.2">
      <c r="B3546" s="200" t="s">
        <v>569</v>
      </c>
      <c r="C3546" s="185" t="s">
        <v>114</v>
      </c>
      <c r="D3546" s="501">
        <v>8.0000000000000004E-4</v>
      </c>
      <c r="E3546" s="186"/>
      <c r="F3546" s="193">
        <v>3700</v>
      </c>
      <c r="G3546" s="182">
        <v>2.81</v>
      </c>
    </row>
    <row r="3547" spans="2:7" x14ac:dyDescent="0.2">
      <c r="B3547" s="419"/>
      <c r="C3547" s="420"/>
      <c r="D3547" s="421"/>
      <c r="E3547" s="421"/>
      <c r="F3547" s="422" t="s">
        <v>624</v>
      </c>
      <c r="G3547" s="425">
        <v>3.26</v>
      </c>
    </row>
    <row r="3548" spans="2:7" x14ac:dyDescent="0.2">
      <c r="B3548" s="423" t="s">
        <v>625</v>
      </c>
      <c r="C3548" s="420"/>
      <c r="D3548" s="421"/>
      <c r="E3548" s="421"/>
      <c r="F3548" s="422"/>
      <c r="G3548" s="350"/>
    </row>
    <row r="3549" spans="2:7" x14ac:dyDescent="0.2">
      <c r="B3549" s="184" t="s">
        <v>626</v>
      </c>
      <c r="C3549" s="185" t="s">
        <v>114</v>
      </c>
      <c r="D3549" s="484">
        <v>12</v>
      </c>
      <c r="E3549" s="186"/>
      <c r="F3549" s="193">
        <v>150000</v>
      </c>
      <c r="G3549" s="315">
        <v>1800000</v>
      </c>
    </row>
    <row r="3550" spans="2:7" x14ac:dyDescent="0.2">
      <c r="B3550" s="200" t="s">
        <v>627</v>
      </c>
      <c r="C3550" s="185" t="s">
        <v>114</v>
      </c>
      <c r="D3550" s="485">
        <v>120</v>
      </c>
      <c r="E3550" s="186"/>
      <c r="F3550" s="193">
        <v>6000</v>
      </c>
      <c r="G3550" s="182">
        <v>720000</v>
      </c>
    </row>
    <row r="3551" spans="2:7" x14ac:dyDescent="0.2">
      <c r="B3551" s="239" t="s">
        <v>455</v>
      </c>
      <c r="C3551" s="468" t="s">
        <v>456</v>
      </c>
      <c r="D3551" s="453"/>
      <c r="E3551" s="441"/>
      <c r="F3551" s="442"/>
      <c r="G3551" s="311" t="s">
        <v>465</v>
      </c>
    </row>
    <row r="3552" spans="2:7" x14ac:dyDescent="0.2">
      <c r="B3552" s="419"/>
      <c r="C3552" s="420"/>
      <c r="D3552" s="421"/>
      <c r="E3552" s="421"/>
      <c r="F3552" s="422" t="s">
        <v>628</v>
      </c>
      <c r="G3552" s="443">
        <v>2520000</v>
      </c>
    </row>
    <row r="3553" spans="2:7" x14ac:dyDescent="0.2">
      <c r="B3553" s="419"/>
      <c r="C3553" s="420"/>
      <c r="D3553" s="421"/>
      <c r="E3553" s="421"/>
      <c r="F3553" s="422"/>
      <c r="G3553" s="350"/>
    </row>
    <row r="3554" spans="2:7" ht="17" thickBot="1" x14ac:dyDescent="0.25">
      <c r="B3554" s="444"/>
      <c r="C3554" s="445"/>
      <c r="D3554" s="446"/>
      <c r="E3554" s="447" t="s">
        <v>460</v>
      </c>
      <c r="F3554" s="448">
        <v>12815373.859999999</v>
      </c>
      <c r="G3554" s="449">
        <v>12815374</v>
      </c>
    </row>
    <row r="3555" spans="2:7" ht="17" thickTop="1" x14ac:dyDescent="0.2">
      <c r="B3555" s="212"/>
      <c r="C3555" s="213"/>
      <c r="D3555" s="212"/>
      <c r="E3555" s="212"/>
      <c r="F3555" s="212"/>
      <c r="G3555" s="212"/>
    </row>
    <row r="3556" spans="2:7" ht="17" thickBot="1" x14ac:dyDescent="0.25">
      <c r="B3556" s="212"/>
      <c r="C3556" s="213"/>
      <c r="D3556" s="212"/>
      <c r="E3556" s="212"/>
      <c r="F3556" s="212"/>
      <c r="G3556" s="212"/>
    </row>
    <row r="3557" spans="2:7" ht="17" thickTop="1" x14ac:dyDescent="0.2">
      <c r="B3557" s="541" t="s">
        <v>135</v>
      </c>
      <c r="C3557" s="542"/>
      <c r="D3557" s="542"/>
      <c r="E3557" s="542"/>
      <c r="F3557" s="416"/>
      <c r="G3557" s="417" t="s">
        <v>635</v>
      </c>
    </row>
    <row r="3558" spans="2:7" x14ac:dyDescent="0.2">
      <c r="B3558" s="543"/>
      <c r="C3558" s="544"/>
      <c r="D3558" s="544"/>
      <c r="E3558" s="544"/>
      <c r="F3558" s="213"/>
      <c r="G3558" s="418" t="s">
        <v>477</v>
      </c>
    </row>
    <row r="3559" spans="2:7" x14ac:dyDescent="0.2">
      <c r="B3559" s="200" t="s">
        <v>1</v>
      </c>
      <c r="C3559" s="169" t="s">
        <v>2</v>
      </c>
      <c r="D3559" s="170" t="s">
        <v>3</v>
      </c>
      <c r="E3559" s="170" t="s">
        <v>441</v>
      </c>
      <c r="F3559" s="222" t="s">
        <v>442</v>
      </c>
      <c r="G3559" s="315" t="s">
        <v>443</v>
      </c>
    </row>
    <row r="3560" spans="2:7" x14ac:dyDescent="0.2">
      <c r="B3560" s="419"/>
      <c r="C3560" s="420"/>
      <c r="D3560" s="421"/>
      <c r="E3560" s="421"/>
      <c r="F3560" s="422"/>
      <c r="G3560" s="350"/>
    </row>
    <row r="3561" spans="2:7" x14ac:dyDescent="0.2">
      <c r="B3561" s="423" t="s">
        <v>444</v>
      </c>
      <c r="C3561" s="420"/>
      <c r="D3561" s="421"/>
      <c r="E3561" s="421"/>
      <c r="F3561" s="422"/>
      <c r="G3561" s="350"/>
    </row>
    <row r="3562" spans="2:7" x14ac:dyDescent="0.2">
      <c r="B3562" s="184"/>
      <c r="C3562" s="185"/>
      <c r="D3562" s="424"/>
      <c r="E3562" s="186"/>
      <c r="F3562" s="222"/>
      <c r="G3562" s="315"/>
    </row>
    <row r="3563" spans="2:7" x14ac:dyDescent="0.2">
      <c r="B3563" s="419"/>
      <c r="C3563" s="420"/>
      <c r="D3563" s="421"/>
      <c r="E3563" s="421"/>
      <c r="F3563" s="422" t="s">
        <v>446</v>
      </c>
      <c r="G3563" s="425" t="s">
        <v>465</v>
      </c>
    </row>
    <row r="3564" spans="2:7" x14ac:dyDescent="0.2">
      <c r="B3564" s="426" t="s">
        <v>447</v>
      </c>
      <c r="C3564" s="420" t="s">
        <v>588</v>
      </c>
      <c r="D3564" s="420" t="s">
        <v>589</v>
      </c>
      <c r="E3564" s="420" t="s">
        <v>590</v>
      </c>
      <c r="F3564" s="427" t="s">
        <v>619</v>
      </c>
      <c r="G3564" s="428" t="s">
        <v>592</v>
      </c>
    </row>
    <row r="3565" spans="2:7" x14ac:dyDescent="0.2">
      <c r="B3565" s="461" t="s">
        <v>631</v>
      </c>
      <c r="C3565" s="462">
        <v>380776</v>
      </c>
      <c r="D3565" s="181">
        <v>1.47</v>
      </c>
      <c r="E3565" s="396">
        <v>559740</v>
      </c>
      <c r="F3565" s="397">
        <v>16</v>
      </c>
      <c r="G3565" s="463">
        <v>8955840</v>
      </c>
    </row>
    <row r="3566" spans="2:7" x14ac:dyDescent="0.2">
      <c r="B3566" s="168" t="s">
        <v>524</v>
      </c>
      <c r="C3566" s="462">
        <v>107473.5</v>
      </c>
      <c r="D3566" s="415">
        <v>1.47</v>
      </c>
      <c r="E3566" s="464">
        <v>157986</v>
      </c>
      <c r="F3566" s="465">
        <v>16</v>
      </c>
      <c r="G3566" s="466">
        <v>2527776</v>
      </c>
    </row>
    <row r="3567" spans="2:7" x14ac:dyDescent="0.2">
      <c r="B3567" s="259" t="s">
        <v>629</v>
      </c>
      <c r="C3567" s="451">
        <v>272539.5</v>
      </c>
      <c r="D3567" s="415">
        <v>1.47</v>
      </c>
      <c r="E3567" s="363">
        <v>400633</v>
      </c>
      <c r="F3567" s="465">
        <v>5.6</v>
      </c>
      <c r="G3567" s="279">
        <v>2243544.7999999998</v>
      </c>
    </row>
    <row r="3568" spans="2:7" x14ac:dyDescent="0.2">
      <c r="B3568" s="419"/>
      <c r="C3568" s="420"/>
      <c r="D3568" s="421"/>
      <c r="E3568" s="421"/>
      <c r="F3568" s="422" t="s">
        <v>621</v>
      </c>
      <c r="G3568" s="425">
        <v>13727160.800000001</v>
      </c>
    </row>
    <row r="3569" spans="2:7" x14ac:dyDescent="0.2">
      <c r="B3569" s="423" t="s">
        <v>450</v>
      </c>
      <c r="C3569" s="420"/>
      <c r="D3569" s="421"/>
      <c r="E3569" s="421"/>
      <c r="F3569" s="422"/>
      <c r="G3569" s="350"/>
    </row>
    <row r="3570" spans="2:7" x14ac:dyDescent="0.2">
      <c r="B3570" s="184" t="s">
        <v>551</v>
      </c>
      <c r="C3570" s="185" t="s">
        <v>114</v>
      </c>
      <c r="D3570" s="501">
        <v>2.9999999999999997E-4</v>
      </c>
      <c r="E3570" s="186"/>
      <c r="F3570" s="193">
        <v>1000</v>
      </c>
      <c r="G3570" s="315">
        <v>0.34</v>
      </c>
    </row>
    <row r="3571" spans="2:7" x14ac:dyDescent="0.2">
      <c r="B3571" s="200" t="s">
        <v>569</v>
      </c>
      <c r="C3571" s="185" t="s">
        <v>114</v>
      </c>
      <c r="D3571" s="501">
        <v>5.9999999999999995E-4</v>
      </c>
      <c r="E3571" s="186"/>
      <c r="F3571" s="193">
        <v>3700</v>
      </c>
      <c r="G3571" s="182">
        <v>2.11</v>
      </c>
    </row>
    <row r="3572" spans="2:7" x14ac:dyDescent="0.2">
      <c r="B3572" s="419"/>
      <c r="C3572" s="420"/>
      <c r="D3572" s="421"/>
      <c r="E3572" s="421"/>
      <c r="F3572" s="422" t="s">
        <v>624</v>
      </c>
      <c r="G3572" s="425">
        <v>2.4500000000000002</v>
      </c>
    </row>
    <row r="3573" spans="2:7" x14ac:dyDescent="0.2">
      <c r="B3573" s="423" t="s">
        <v>625</v>
      </c>
      <c r="C3573" s="420"/>
      <c r="D3573" s="421"/>
      <c r="E3573" s="421"/>
      <c r="F3573" s="422"/>
      <c r="G3573" s="350"/>
    </row>
    <row r="3574" spans="2:7" x14ac:dyDescent="0.2">
      <c r="B3574" s="184" t="s">
        <v>626</v>
      </c>
      <c r="C3574" s="185" t="s">
        <v>114</v>
      </c>
      <c r="D3574" s="484">
        <v>16</v>
      </c>
      <c r="E3574" s="186"/>
      <c r="F3574" s="193">
        <v>150000</v>
      </c>
      <c r="G3574" s="315">
        <v>2400000</v>
      </c>
    </row>
    <row r="3575" spans="2:7" x14ac:dyDescent="0.2">
      <c r="B3575" s="200" t="s">
        <v>627</v>
      </c>
      <c r="C3575" s="185" t="s">
        <v>114</v>
      </c>
      <c r="D3575" s="485">
        <v>160</v>
      </c>
      <c r="E3575" s="186"/>
      <c r="F3575" s="193">
        <v>6000</v>
      </c>
      <c r="G3575" s="182">
        <v>960000</v>
      </c>
    </row>
    <row r="3576" spans="2:7" x14ac:dyDescent="0.2">
      <c r="B3576" s="239" t="s">
        <v>455</v>
      </c>
      <c r="C3576" s="468" t="s">
        <v>456</v>
      </c>
      <c r="D3576" s="453"/>
      <c r="E3576" s="441"/>
      <c r="F3576" s="442"/>
      <c r="G3576" s="311" t="s">
        <v>465</v>
      </c>
    </row>
    <row r="3577" spans="2:7" x14ac:dyDescent="0.2">
      <c r="B3577" s="419"/>
      <c r="C3577" s="420"/>
      <c r="D3577" s="421"/>
      <c r="E3577" s="421"/>
      <c r="F3577" s="422" t="s">
        <v>628</v>
      </c>
      <c r="G3577" s="443">
        <v>3360000</v>
      </c>
    </row>
    <row r="3578" spans="2:7" x14ac:dyDescent="0.2">
      <c r="B3578" s="419"/>
      <c r="C3578" s="420"/>
      <c r="D3578" s="421"/>
      <c r="E3578" s="421"/>
      <c r="F3578" s="422"/>
      <c r="G3578" s="350"/>
    </row>
    <row r="3579" spans="2:7" ht="17" thickBot="1" x14ac:dyDescent="0.25">
      <c r="B3579" s="444"/>
      <c r="C3579" s="445"/>
      <c r="D3579" s="446"/>
      <c r="E3579" s="447" t="s">
        <v>460</v>
      </c>
      <c r="F3579" s="448">
        <v>17087163.25</v>
      </c>
      <c r="G3579" s="449">
        <v>17087163</v>
      </c>
    </row>
    <row r="3580" spans="2:7" ht="17" thickTop="1" x14ac:dyDescent="0.2">
      <c r="B3580" s="212"/>
      <c r="C3580" s="213"/>
      <c r="D3580" s="212"/>
      <c r="E3580" s="212"/>
      <c r="F3580" s="212"/>
      <c r="G3580" s="212"/>
    </row>
    <row r="3581" spans="2:7" ht="17" thickBot="1" x14ac:dyDescent="0.25">
      <c r="B3581" s="212"/>
      <c r="C3581" s="213"/>
      <c r="D3581" s="212"/>
      <c r="E3581" s="212"/>
      <c r="F3581" s="212"/>
      <c r="G3581" s="212"/>
    </row>
    <row r="3582" spans="2:7" ht="17" thickTop="1" x14ac:dyDescent="0.2">
      <c r="B3582" s="541" t="s">
        <v>136</v>
      </c>
      <c r="C3582" s="542"/>
      <c r="D3582" s="542"/>
      <c r="E3582" s="542"/>
      <c r="F3582" s="416"/>
      <c r="G3582" s="417" t="s">
        <v>635</v>
      </c>
    </row>
    <row r="3583" spans="2:7" x14ac:dyDescent="0.2">
      <c r="B3583" s="543"/>
      <c r="C3583" s="544"/>
      <c r="D3583" s="544"/>
      <c r="E3583" s="544"/>
      <c r="F3583" s="213"/>
      <c r="G3583" s="418" t="s">
        <v>477</v>
      </c>
    </row>
    <row r="3584" spans="2:7" x14ac:dyDescent="0.2">
      <c r="B3584" s="200" t="s">
        <v>1</v>
      </c>
      <c r="C3584" s="169" t="s">
        <v>2</v>
      </c>
      <c r="D3584" s="170" t="s">
        <v>3</v>
      </c>
      <c r="E3584" s="170" t="s">
        <v>441</v>
      </c>
      <c r="F3584" s="222" t="s">
        <v>442</v>
      </c>
      <c r="G3584" s="315" t="s">
        <v>443</v>
      </c>
    </row>
    <row r="3585" spans="2:7" x14ac:dyDescent="0.2">
      <c r="B3585" s="419"/>
      <c r="C3585" s="420"/>
      <c r="D3585" s="421"/>
      <c r="E3585" s="421"/>
      <c r="F3585" s="422"/>
      <c r="G3585" s="350"/>
    </row>
    <row r="3586" spans="2:7" x14ac:dyDescent="0.2">
      <c r="B3586" s="423" t="s">
        <v>444</v>
      </c>
      <c r="C3586" s="420"/>
      <c r="D3586" s="421"/>
      <c r="E3586" s="421"/>
      <c r="F3586" s="422"/>
      <c r="G3586" s="350"/>
    </row>
    <row r="3587" spans="2:7" x14ac:dyDescent="0.2">
      <c r="B3587" s="184"/>
      <c r="C3587" s="185"/>
      <c r="D3587" s="424"/>
      <c r="E3587" s="186"/>
      <c r="F3587" s="222"/>
      <c r="G3587" s="315"/>
    </row>
    <row r="3588" spans="2:7" x14ac:dyDescent="0.2">
      <c r="B3588" s="419"/>
      <c r="C3588" s="420"/>
      <c r="D3588" s="421"/>
      <c r="E3588" s="421"/>
      <c r="F3588" s="422" t="s">
        <v>446</v>
      </c>
      <c r="G3588" s="425" t="s">
        <v>465</v>
      </c>
    </row>
    <row r="3589" spans="2:7" x14ac:dyDescent="0.2">
      <c r="B3589" s="426" t="s">
        <v>447</v>
      </c>
      <c r="C3589" s="420" t="s">
        <v>588</v>
      </c>
      <c r="D3589" s="420" t="s">
        <v>589</v>
      </c>
      <c r="E3589" s="420" t="s">
        <v>590</v>
      </c>
      <c r="F3589" s="427" t="s">
        <v>619</v>
      </c>
      <c r="G3589" s="428" t="s">
        <v>592</v>
      </c>
    </row>
    <row r="3590" spans="2:7" x14ac:dyDescent="0.2">
      <c r="B3590" s="461" t="s">
        <v>631</v>
      </c>
      <c r="C3590" s="462">
        <v>380776</v>
      </c>
      <c r="D3590" s="181">
        <v>1.47</v>
      </c>
      <c r="E3590" s="396">
        <v>559740</v>
      </c>
      <c r="F3590" s="397">
        <v>20</v>
      </c>
      <c r="G3590" s="463">
        <v>11194800</v>
      </c>
    </row>
    <row r="3591" spans="2:7" x14ac:dyDescent="0.2">
      <c r="B3591" s="168" t="s">
        <v>524</v>
      </c>
      <c r="C3591" s="462">
        <v>107473.5</v>
      </c>
      <c r="D3591" s="415">
        <v>1.47</v>
      </c>
      <c r="E3591" s="464">
        <v>157986</v>
      </c>
      <c r="F3591" s="465">
        <v>20</v>
      </c>
      <c r="G3591" s="466">
        <v>3159720</v>
      </c>
    </row>
    <row r="3592" spans="2:7" x14ac:dyDescent="0.2">
      <c r="B3592" s="259" t="s">
        <v>629</v>
      </c>
      <c r="C3592" s="451">
        <v>272539.5</v>
      </c>
      <c r="D3592" s="415">
        <v>1.47</v>
      </c>
      <c r="E3592" s="363">
        <v>400633</v>
      </c>
      <c r="F3592" s="465">
        <v>7</v>
      </c>
      <c r="G3592" s="279">
        <v>2804431</v>
      </c>
    </row>
    <row r="3593" spans="2:7" x14ac:dyDescent="0.2">
      <c r="B3593" s="419"/>
      <c r="C3593" s="420"/>
      <c r="D3593" s="421"/>
      <c r="E3593" s="421"/>
      <c r="F3593" s="422" t="s">
        <v>621</v>
      </c>
      <c r="G3593" s="425">
        <v>17158951</v>
      </c>
    </row>
    <row r="3594" spans="2:7" x14ac:dyDescent="0.2">
      <c r="B3594" s="423" t="s">
        <v>450</v>
      </c>
      <c r="C3594" s="420"/>
      <c r="D3594" s="421"/>
      <c r="E3594" s="421"/>
      <c r="F3594" s="422"/>
      <c r="G3594" s="350"/>
    </row>
    <row r="3595" spans="2:7" x14ac:dyDescent="0.2">
      <c r="B3595" s="184" t="s">
        <v>551</v>
      </c>
      <c r="C3595" s="185" t="s">
        <v>114</v>
      </c>
      <c r="D3595" s="501">
        <v>2.9999999999999997E-4</v>
      </c>
      <c r="E3595" s="186"/>
      <c r="F3595" s="193">
        <v>1000</v>
      </c>
      <c r="G3595" s="315">
        <v>0.27</v>
      </c>
    </row>
    <row r="3596" spans="2:7" x14ac:dyDescent="0.2">
      <c r="B3596" s="200" t="s">
        <v>569</v>
      </c>
      <c r="C3596" s="185" t="s">
        <v>114</v>
      </c>
      <c r="D3596" s="501">
        <v>5.0000000000000001E-4</v>
      </c>
      <c r="E3596" s="186"/>
      <c r="F3596" s="193">
        <v>3700</v>
      </c>
      <c r="G3596" s="182">
        <v>1.68</v>
      </c>
    </row>
    <row r="3597" spans="2:7" x14ac:dyDescent="0.2">
      <c r="B3597" s="419"/>
      <c r="C3597" s="420"/>
      <c r="D3597" s="421"/>
      <c r="E3597" s="421"/>
      <c r="F3597" s="422" t="s">
        <v>624</v>
      </c>
      <c r="G3597" s="425">
        <v>1.95</v>
      </c>
    </row>
    <row r="3598" spans="2:7" x14ac:dyDescent="0.2">
      <c r="B3598" s="423" t="s">
        <v>625</v>
      </c>
      <c r="C3598" s="420"/>
      <c r="D3598" s="421"/>
      <c r="E3598" s="421"/>
      <c r="F3598" s="422"/>
      <c r="G3598" s="350"/>
    </row>
    <row r="3599" spans="2:7" x14ac:dyDescent="0.2">
      <c r="B3599" s="184" t="s">
        <v>626</v>
      </c>
      <c r="C3599" s="185" t="s">
        <v>114</v>
      </c>
      <c r="D3599" s="484">
        <v>20</v>
      </c>
      <c r="E3599" s="186"/>
      <c r="F3599" s="193">
        <v>150000</v>
      </c>
      <c r="G3599" s="315">
        <v>3000000</v>
      </c>
    </row>
    <row r="3600" spans="2:7" x14ac:dyDescent="0.2">
      <c r="B3600" s="200" t="s">
        <v>627</v>
      </c>
      <c r="C3600" s="185" t="s">
        <v>114</v>
      </c>
      <c r="D3600" s="485">
        <v>200</v>
      </c>
      <c r="E3600" s="186"/>
      <c r="F3600" s="193">
        <v>6000</v>
      </c>
      <c r="G3600" s="182">
        <v>1200000</v>
      </c>
    </row>
    <row r="3601" spans="2:7" x14ac:dyDescent="0.2">
      <c r="B3601" s="239" t="s">
        <v>455</v>
      </c>
      <c r="C3601" s="468" t="s">
        <v>456</v>
      </c>
      <c r="D3601" s="453"/>
      <c r="E3601" s="441"/>
      <c r="F3601" s="442"/>
      <c r="G3601" s="311" t="s">
        <v>465</v>
      </c>
    </row>
    <row r="3602" spans="2:7" x14ac:dyDescent="0.2">
      <c r="B3602" s="419"/>
      <c r="C3602" s="420"/>
      <c r="D3602" s="421"/>
      <c r="E3602" s="421"/>
      <c r="F3602" s="422" t="s">
        <v>628</v>
      </c>
      <c r="G3602" s="443">
        <v>4200000</v>
      </c>
    </row>
    <row r="3603" spans="2:7" x14ac:dyDescent="0.2">
      <c r="B3603" s="419"/>
      <c r="C3603" s="420"/>
      <c r="D3603" s="421"/>
      <c r="E3603" s="421"/>
      <c r="F3603" s="422"/>
      <c r="G3603" s="350"/>
    </row>
    <row r="3604" spans="2:7" ht="17" thickBot="1" x14ac:dyDescent="0.25">
      <c r="B3604" s="444"/>
      <c r="C3604" s="445"/>
      <c r="D3604" s="446"/>
      <c r="E3604" s="447" t="s">
        <v>460</v>
      </c>
      <c r="F3604" s="448">
        <v>21358952.949999999</v>
      </c>
      <c r="G3604" s="449">
        <v>21358953</v>
      </c>
    </row>
    <row r="3605" spans="2:7" ht="17" thickTop="1" x14ac:dyDescent="0.2">
      <c r="B3605" s="212"/>
      <c r="C3605" s="213"/>
      <c r="D3605" s="212"/>
      <c r="E3605" s="212"/>
      <c r="F3605" s="212"/>
      <c r="G3605" s="212"/>
    </row>
    <row r="3606" spans="2:7" ht="17" thickBot="1" x14ac:dyDescent="0.25">
      <c r="B3606" s="212"/>
      <c r="C3606" s="213"/>
      <c r="D3606" s="212"/>
      <c r="E3606" s="212"/>
      <c r="F3606" s="212"/>
      <c r="G3606" s="212"/>
    </row>
    <row r="3607" spans="2:7" ht="17" thickTop="1" x14ac:dyDescent="0.2">
      <c r="B3607" s="537" t="s">
        <v>139</v>
      </c>
      <c r="C3607" s="538"/>
      <c r="D3607" s="538"/>
      <c r="E3607" s="538"/>
      <c r="F3607" s="148"/>
      <c r="G3607" s="149" t="s">
        <v>636</v>
      </c>
    </row>
    <row r="3608" spans="2:7" x14ac:dyDescent="0.2">
      <c r="B3608" s="539"/>
      <c r="C3608" s="540"/>
      <c r="D3608" s="540"/>
      <c r="E3608" s="540"/>
      <c r="F3608" s="150"/>
      <c r="G3608" s="151" t="s">
        <v>477</v>
      </c>
    </row>
    <row r="3609" spans="2:7" x14ac:dyDescent="0.2">
      <c r="B3609" s="152" t="s">
        <v>1</v>
      </c>
      <c r="C3609" s="153" t="s">
        <v>2</v>
      </c>
      <c r="D3609" s="153" t="s">
        <v>3</v>
      </c>
      <c r="E3609" s="153" t="s">
        <v>441</v>
      </c>
      <c r="F3609" s="154" t="s">
        <v>442</v>
      </c>
      <c r="G3609" s="155" t="s">
        <v>443</v>
      </c>
    </row>
    <row r="3610" spans="2:7" x14ac:dyDescent="0.2">
      <c r="B3610" s="157"/>
      <c r="C3610" s="158"/>
      <c r="D3610" s="156"/>
      <c r="E3610" s="156"/>
      <c r="F3610" s="159"/>
      <c r="G3610" s="160"/>
    </row>
    <row r="3611" spans="2:7" x14ac:dyDescent="0.2">
      <c r="B3611" s="161" t="s">
        <v>444</v>
      </c>
      <c r="C3611" s="158"/>
      <c r="D3611" s="156"/>
      <c r="E3611" s="156"/>
      <c r="F3611" s="159"/>
      <c r="G3611" s="160"/>
    </row>
    <row r="3612" spans="2:7" x14ac:dyDescent="0.2">
      <c r="B3612" s="236"/>
      <c r="C3612" s="185"/>
      <c r="D3612" s="181"/>
      <c r="E3612" s="186"/>
      <c r="F3612" s="222"/>
      <c r="G3612" s="237"/>
    </row>
    <row r="3613" spans="2:7" x14ac:dyDescent="0.2">
      <c r="B3613" s="157"/>
      <c r="C3613" s="158"/>
      <c r="D3613" s="156"/>
      <c r="E3613" s="156"/>
      <c r="F3613" s="159" t="s">
        <v>446</v>
      </c>
      <c r="G3613" s="183" t="s">
        <v>465</v>
      </c>
    </row>
    <row r="3614" spans="2:7" x14ac:dyDescent="0.2">
      <c r="B3614" s="379" t="s">
        <v>447</v>
      </c>
      <c r="C3614" s="158" t="s">
        <v>588</v>
      </c>
      <c r="D3614" s="158" t="s">
        <v>589</v>
      </c>
      <c r="E3614" s="158" t="s">
        <v>590</v>
      </c>
      <c r="F3614" s="380" t="s">
        <v>591</v>
      </c>
      <c r="G3614" s="381" t="s">
        <v>592</v>
      </c>
    </row>
    <row r="3615" spans="2:7" x14ac:dyDescent="0.2">
      <c r="B3615" s="471" t="s">
        <v>637</v>
      </c>
      <c r="C3615" s="462">
        <v>94469</v>
      </c>
      <c r="D3615" s="181">
        <v>1.47</v>
      </c>
      <c r="E3615" s="396">
        <v>138869</v>
      </c>
      <c r="F3615" s="397">
        <v>2.5000000000000001E-2</v>
      </c>
      <c r="G3615" s="463">
        <v>3471.73</v>
      </c>
    </row>
    <row r="3616" spans="2:7" x14ac:dyDescent="0.2">
      <c r="B3616" s="180"/>
      <c r="C3616" s="185"/>
      <c r="D3616" s="181"/>
      <c r="E3616" s="186"/>
      <c r="F3616" s="222"/>
      <c r="G3616" s="237"/>
    </row>
    <row r="3617" spans="2:7" x14ac:dyDescent="0.2">
      <c r="B3617" s="157"/>
      <c r="C3617" s="158"/>
      <c r="D3617" s="156"/>
      <c r="E3617" s="156"/>
      <c r="F3617" s="159" t="s">
        <v>449</v>
      </c>
      <c r="G3617" s="183">
        <v>3471.73</v>
      </c>
    </row>
    <row r="3618" spans="2:7" x14ac:dyDescent="0.2">
      <c r="B3618" s="161" t="s">
        <v>450</v>
      </c>
      <c r="C3618" s="158"/>
      <c r="D3618" s="156"/>
      <c r="E3618" s="156"/>
      <c r="F3618" s="159"/>
      <c r="G3618" s="160"/>
    </row>
    <row r="3619" spans="2:7" x14ac:dyDescent="0.2">
      <c r="B3619" s="218" t="s">
        <v>638</v>
      </c>
      <c r="C3619" s="219" t="s">
        <v>2</v>
      </c>
      <c r="D3619" s="229">
        <v>0.25</v>
      </c>
      <c r="E3619" s="229">
        <v>5</v>
      </c>
      <c r="F3619" s="470">
        <v>56757.05</v>
      </c>
      <c r="G3619" s="221">
        <v>14898.72</v>
      </c>
    </row>
    <row r="3620" spans="2:7" x14ac:dyDescent="0.2">
      <c r="B3620" s="180"/>
      <c r="C3620" s="185"/>
      <c r="D3620" s="181"/>
      <c r="E3620" s="186"/>
      <c r="F3620" s="222"/>
      <c r="G3620" s="230"/>
    </row>
    <row r="3621" spans="2:7" x14ac:dyDescent="0.2">
      <c r="B3621" s="157"/>
      <c r="C3621" s="158"/>
      <c r="D3621" s="156"/>
      <c r="E3621" s="156"/>
      <c r="F3621" s="159" t="s">
        <v>452</v>
      </c>
      <c r="G3621" s="183">
        <v>14898.72</v>
      </c>
    </row>
    <row r="3622" spans="2:7" x14ac:dyDescent="0.2">
      <c r="B3622" s="161" t="s">
        <v>453</v>
      </c>
      <c r="C3622" s="158"/>
      <c r="D3622" s="156"/>
      <c r="E3622" s="156"/>
      <c r="F3622" s="159"/>
      <c r="G3622" s="160"/>
    </row>
    <row r="3623" spans="2:7" x14ac:dyDescent="0.2">
      <c r="B3623" s="218" t="s">
        <v>639</v>
      </c>
      <c r="C3623" s="219" t="s">
        <v>286</v>
      </c>
      <c r="D3623" s="229">
        <v>8.3333330000000001E-3</v>
      </c>
      <c r="E3623" s="229"/>
      <c r="F3623" s="470">
        <v>199920</v>
      </c>
      <c r="G3623" s="221">
        <v>1666</v>
      </c>
    </row>
    <row r="3624" spans="2:7" x14ac:dyDescent="0.2">
      <c r="B3624" s="180"/>
      <c r="C3624" s="185"/>
      <c r="D3624" s="181"/>
      <c r="E3624" s="186"/>
      <c r="F3624" s="222"/>
      <c r="G3624" s="230"/>
    </row>
    <row r="3625" spans="2:7" x14ac:dyDescent="0.2">
      <c r="B3625" s="157"/>
      <c r="C3625" s="158"/>
      <c r="D3625" s="156"/>
      <c r="E3625" s="156"/>
      <c r="F3625" s="159" t="s">
        <v>459</v>
      </c>
      <c r="G3625" s="183">
        <v>1666</v>
      </c>
    </row>
    <row r="3626" spans="2:7" x14ac:dyDescent="0.2">
      <c r="B3626" s="157"/>
      <c r="C3626" s="158"/>
      <c r="D3626" s="156"/>
      <c r="E3626" s="156"/>
      <c r="F3626" s="159"/>
      <c r="G3626" s="160"/>
    </row>
    <row r="3627" spans="2:7" ht="17" thickBot="1" x14ac:dyDescent="0.25">
      <c r="B3627" s="206"/>
      <c r="C3627" s="207"/>
      <c r="D3627" s="208"/>
      <c r="E3627" s="209" t="s">
        <v>460</v>
      </c>
      <c r="F3627" s="210">
        <v>15489258.119999999</v>
      </c>
      <c r="G3627" s="211">
        <v>20036</v>
      </c>
    </row>
    <row r="3628" spans="2:7" ht="17" thickTop="1" x14ac:dyDescent="0.2">
      <c r="B3628" s="212"/>
      <c r="C3628" s="213"/>
      <c r="D3628" s="212"/>
      <c r="E3628" s="212"/>
      <c r="F3628" s="212"/>
      <c r="G3628" s="212"/>
    </row>
    <row r="3629" spans="2:7" ht="17" thickBot="1" x14ac:dyDescent="0.25">
      <c r="B3629" s="212"/>
      <c r="C3629" s="213"/>
      <c r="D3629" s="212"/>
      <c r="E3629" s="212"/>
      <c r="F3629" s="212"/>
      <c r="G3629" s="212"/>
    </row>
    <row r="3630" spans="2:7" ht="17" thickTop="1" x14ac:dyDescent="0.2">
      <c r="B3630" s="537" t="s">
        <v>141</v>
      </c>
      <c r="C3630" s="538"/>
      <c r="D3630" s="538"/>
      <c r="E3630" s="538"/>
      <c r="F3630" s="148"/>
      <c r="G3630" s="149" t="s">
        <v>636</v>
      </c>
    </row>
    <row r="3631" spans="2:7" x14ac:dyDescent="0.2">
      <c r="B3631" s="539"/>
      <c r="C3631" s="540"/>
      <c r="D3631" s="540"/>
      <c r="E3631" s="540"/>
      <c r="F3631" s="150"/>
      <c r="G3631" s="151" t="s">
        <v>477</v>
      </c>
    </row>
    <row r="3632" spans="2:7" x14ac:dyDescent="0.2">
      <c r="B3632" s="152" t="s">
        <v>1</v>
      </c>
      <c r="C3632" s="153" t="s">
        <v>2</v>
      </c>
      <c r="D3632" s="153" t="s">
        <v>3</v>
      </c>
      <c r="E3632" s="153" t="s">
        <v>441</v>
      </c>
      <c r="F3632" s="154" t="s">
        <v>442</v>
      </c>
      <c r="G3632" s="155" t="s">
        <v>443</v>
      </c>
    </row>
    <row r="3633" spans="2:7" x14ac:dyDescent="0.2">
      <c r="B3633" s="157"/>
      <c r="C3633" s="158"/>
      <c r="D3633" s="156"/>
      <c r="E3633" s="156"/>
      <c r="F3633" s="159"/>
      <c r="G3633" s="160"/>
    </row>
    <row r="3634" spans="2:7" x14ac:dyDescent="0.2">
      <c r="B3634" s="161" t="s">
        <v>444</v>
      </c>
      <c r="C3634" s="158"/>
      <c r="D3634" s="156"/>
      <c r="E3634" s="156"/>
      <c r="F3634" s="159"/>
      <c r="G3634" s="160"/>
    </row>
    <row r="3635" spans="2:7" x14ac:dyDescent="0.2">
      <c r="B3635" s="236"/>
      <c r="C3635" s="185"/>
      <c r="D3635" s="181"/>
      <c r="E3635" s="186"/>
      <c r="F3635" s="222"/>
      <c r="G3635" s="237"/>
    </row>
    <row r="3636" spans="2:7" x14ac:dyDescent="0.2">
      <c r="B3636" s="157"/>
      <c r="C3636" s="158"/>
      <c r="D3636" s="156"/>
      <c r="E3636" s="156"/>
      <c r="F3636" s="159" t="s">
        <v>446</v>
      </c>
      <c r="G3636" s="183" t="s">
        <v>465</v>
      </c>
    </row>
    <row r="3637" spans="2:7" x14ac:dyDescent="0.2">
      <c r="B3637" s="379" t="s">
        <v>447</v>
      </c>
      <c r="C3637" s="158" t="s">
        <v>588</v>
      </c>
      <c r="D3637" s="158" t="s">
        <v>589</v>
      </c>
      <c r="E3637" s="158" t="s">
        <v>590</v>
      </c>
      <c r="F3637" s="380" t="s">
        <v>591</v>
      </c>
      <c r="G3637" s="381" t="s">
        <v>592</v>
      </c>
    </row>
    <row r="3638" spans="2:7" x14ac:dyDescent="0.2">
      <c r="B3638" s="471" t="s">
        <v>637</v>
      </c>
      <c r="C3638" s="462">
        <v>94469</v>
      </c>
      <c r="D3638" s="181">
        <v>1.47</v>
      </c>
      <c r="E3638" s="396">
        <v>138869</v>
      </c>
      <c r="F3638" s="397">
        <v>3.7999999999999999E-2</v>
      </c>
      <c r="G3638" s="463">
        <v>5207.59</v>
      </c>
    </row>
    <row r="3639" spans="2:7" x14ac:dyDescent="0.2">
      <c r="B3639" s="180"/>
      <c r="C3639" s="185"/>
      <c r="D3639" s="181"/>
      <c r="E3639" s="186"/>
      <c r="F3639" s="222"/>
      <c r="G3639" s="237"/>
    </row>
    <row r="3640" spans="2:7" x14ac:dyDescent="0.2">
      <c r="B3640" s="157"/>
      <c r="C3640" s="158"/>
      <c r="D3640" s="156"/>
      <c r="E3640" s="156"/>
      <c r="F3640" s="159" t="s">
        <v>449</v>
      </c>
      <c r="G3640" s="183">
        <v>5207.59</v>
      </c>
    </row>
    <row r="3641" spans="2:7" x14ac:dyDescent="0.2">
      <c r="B3641" s="161" t="s">
        <v>450</v>
      </c>
      <c r="C3641" s="158"/>
      <c r="D3641" s="156"/>
      <c r="E3641" s="156"/>
      <c r="F3641" s="159"/>
      <c r="G3641" s="160"/>
    </row>
    <row r="3642" spans="2:7" x14ac:dyDescent="0.2">
      <c r="B3642" s="218" t="s">
        <v>638</v>
      </c>
      <c r="C3642" s="219" t="s">
        <v>2</v>
      </c>
      <c r="D3642" s="229">
        <v>0.5</v>
      </c>
      <c r="E3642" s="229">
        <v>5</v>
      </c>
      <c r="F3642" s="470">
        <v>56757.05</v>
      </c>
      <c r="G3642" s="221">
        <v>29797.45</v>
      </c>
    </row>
    <row r="3643" spans="2:7" x14ac:dyDescent="0.2">
      <c r="B3643" s="180"/>
      <c r="C3643" s="185"/>
      <c r="D3643" s="181"/>
      <c r="E3643" s="186"/>
      <c r="F3643" s="222"/>
      <c r="G3643" s="230"/>
    </row>
    <row r="3644" spans="2:7" x14ac:dyDescent="0.2">
      <c r="B3644" s="157"/>
      <c r="C3644" s="158"/>
      <c r="D3644" s="156"/>
      <c r="E3644" s="156"/>
      <c r="F3644" s="159" t="s">
        <v>452</v>
      </c>
      <c r="G3644" s="183">
        <v>29797.45</v>
      </c>
    </row>
    <row r="3645" spans="2:7" x14ac:dyDescent="0.2">
      <c r="B3645" s="161" t="s">
        <v>453</v>
      </c>
      <c r="C3645" s="158"/>
      <c r="D3645" s="156"/>
      <c r="E3645" s="156"/>
      <c r="F3645" s="159"/>
      <c r="G3645" s="160"/>
    </row>
    <row r="3646" spans="2:7" x14ac:dyDescent="0.2">
      <c r="B3646" s="218" t="s">
        <v>639</v>
      </c>
      <c r="C3646" s="219" t="s">
        <v>286</v>
      </c>
      <c r="D3646" s="229">
        <v>8.3333330000000001E-3</v>
      </c>
      <c r="E3646" s="229"/>
      <c r="F3646" s="470">
        <v>199920</v>
      </c>
      <c r="G3646" s="221">
        <v>1666</v>
      </c>
    </row>
    <row r="3647" spans="2:7" x14ac:dyDescent="0.2">
      <c r="B3647" s="180"/>
      <c r="C3647" s="185"/>
      <c r="D3647" s="181"/>
      <c r="E3647" s="186"/>
      <c r="F3647" s="222"/>
      <c r="G3647" s="230"/>
    </row>
    <row r="3648" spans="2:7" x14ac:dyDescent="0.2">
      <c r="B3648" s="157"/>
      <c r="C3648" s="158"/>
      <c r="D3648" s="156"/>
      <c r="E3648" s="156"/>
      <c r="F3648" s="159" t="s">
        <v>459</v>
      </c>
      <c r="G3648" s="183">
        <v>1666</v>
      </c>
    </row>
    <row r="3649" spans="2:7" x14ac:dyDescent="0.2">
      <c r="B3649" s="157"/>
      <c r="C3649" s="158"/>
      <c r="D3649" s="156"/>
      <c r="E3649" s="156"/>
      <c r="F3649" s="159"/>
      <c r="G3649" s="160"/>
    </row>
    <row r="3650" spans="2:7" ht="17" thickBot="1" x14ac:dyDescent="0.25">
      <c r="B3650" s="206"/>
      <c r="C3650" s="207"/>
      <c r="D3650" s="208"/>
      <c r="E3650" s="209" t="s">
        <v>460</v>
      </c>
      <c r="F3650" s="210">
        <v>991</v>
      </c>
      <c r="G3650" s="211">
        <v>36671</v>
      </c>
    </row>
    <row r="3651" spans="2:7" ht="17" thickTop="1" x14ac:dyDescent="0.2">
      <c r="B3651" s="212"/>
      <c r="C3651" s="213"/>
      <c r="D3651" s="212"/>
      <c r="E3651" s="212"/>
      <c r="F3651" s="212"/>
      <c r="G3651" s="212"/>
    </row>
    <row r="3652" spans="2:7" x14ac:dyDescent="0.2">
      <c r="B3652" s="212"/>
      <c r="C3652" s="213"/>
      <c r="D3652" s="212"/>
      <c r="E3652" s="212"/>
      <c r="F3652" s="212"/>
      <c r="G3652" s="212"/>
    </row>
    <row r="3653" spans="2:7" ht="17" thickBot="1" x14ac:dyDescent="0.25">
      <c r="B3653" s="212"/>
      <c r="C3653" s="213"/>
      <c r="D3653" s="212"/>
      <c r="E3653" s="212"/>
      <c r="F3653" s="212"/>
      <c r="G3653" s="212"/>
    </row>
    <row r="3654" spans="2:7" ht="17" thickTop="1" x14ac:dyDescent="0.2">
      <c r="B3654" s="537" t="s">
        <v>143</v>
      </c>
      <c r="C3654" s="538"/>
      <c r="D3654" s="538"/>
      <c r="E3654" s="538"/>
      <c r="F3654" s="148"/>
      <c r="G3654" s="149" t="s">
        <v>636</v>
      </c>
    </row>
    <row r="3655" spans="2:7" x14ac:dyDescent="0.2">
      <c r="B3655" s="539"/>
      <c r="C3655" s="540"/>
      <c r="D3655" s="540"/>
      <c r="E3655" s="540"/>
      <c r="F3655" s="150"/>
      <c r="G3655" s="151" t="s">
        <v>477</v>
      </c>
    </row>
    <row r="3656" spans="2:7" x14ac:dyDescent="0.2">
      <c r="B3656" s="152" t="s">
        <v>1</v>
      </c>
      <c r="C3656" s="153" t="s">
        <v>2</v>
      </c>
      <c r="D3656" s="153" t="s">
        <v>3</v>
      </c>
      <c r="E3656" s="153" t="s">
        <v>441</v>
      </c>
      <c r="F3656" s="154" t="s">
        <v>442</v>
      </c>
      <c r="G3656" s="155" t="s">
        <v>443</v>
      </c>
    </row>
    <row r="3657" spans="2:7" x14ac:dyDescent="0.2">
      <c r="B3657" s="157"/>
      <c r="C3657" s="158"/>
      <c r="D3657" s="156"/>
      <c r="E3657" s="156"/>
      <c r="F3657" s="159"/>
      <c r="G3657" s="160"/>
    </row>
    <row r="3658" spans="2:7" x14ac:dyDescent="0.2">
      <c r="B3658" s="161" t="s">
        <v>444</v>
      </c>
      <c r="C3658" s="158"/>
      <c r="D3658" s="156"/>
      <c r="E3658" s="156"/>
      <c r="F3658" s="159"/>
      <c r="G3658" s="160"/>
    </row>
    <row r="3659" spans="2:7" x14ac:dyDescent="0.2">
      <c r="B3659" s="236"/>
      <c r="C3659" s="185"/>
      <c r="D3659" s="181"/>
      <c r="E3659" s="186"/>
      <c r="F3659" s="222"/>
      <c r="G3659" s="237"/>
    </row>
    <row r="3660" spans="2:7" x14ac:dyDescent="0.2">
      <c r="B3660" s="157"/>
      <c r="C3660" s="158"/>
      <c r="D3660" s="156"/>
      <c r="E3660" s="156"/>
      <c r="F3660" s="159" t="s">
        <v>446</v>
      </c>
      <c r="G3660" s="183" t="s">
        <v>465</v>
      </c>
    </row>
    <row r="3661" spans="2:7" x14ac:dyDescent="0.2">
      <c r="B3661" s="379" t="s">
        <v>447</v>
      </c>
      <c r="C3661" s="158" t="s">
        <v>588</v>
      </c>
      <c r="D3661" s="158" t="s">
        <v>589</v>
      </c>
      <c r="E3661" s="158" t="s">
        <v>590</v>
      </c>
      <c r="F3661" s="380" t="s">
        <v>591</v>
      </c>
      <c r="G3661" s="381" t="s">
        <v>592</v>
      </c>
    </row>
    <row r="3662" spans="2:7" x14ac:dyDescent="0.2">
      <c r="B3662" s="471" t="s">
        <v>637</v>
      </c>
      <c r="C3662" s="462">
        <v>94469</v>
      </c>
      <c r="D3662" s="181">
        <v>1.47</v>
      </c>
      <c r="E3662" s="396">
        <v>138869</v>
      </c>
      <c r="F3662" s="397">
        <v>0.05</v>
      </c>
      <c r="G3662" s="463">
        <v>6943.45</v>
      </c>
    </row>
    <row r="3663" spans="2:7" x14ac:dyDescent="0.2">
      <c r="B3663" s="180"/>
      <c r="C3663" s="185"/>
      <c r="D3663" s="181"/>
      <c r="E3663" s="186"/>
      <c r="F3663" s="222"/>
      <c r="G3663" s="237"/>
    </row>
    <row r="3664" spans="2:7" x14ac:dyDescent="0.2">
      <c r="B3664" s="157"/>
      <c r="C3664" s="158"/>
      <c r="D3664" s="156"/>
      <c r="E3664" s="156"/>
      <c r="F3664" s="159" t="s">
        <v>449</v>
      </c>
      <c r="G3664" s="183">
        <v>6943.45</v>
      </c>
    </row>
    <row r="3665" spans="2:7" x14ac:dyDescent="0.2">
      <c r="B3665" s="161" t="s">
        <v>450</v>
      </c>
      <c r="C3665" s="158"/>
      <c r="D3665" s="156"/>
      <c r="E3665" s="156"/>
      <c r="F3665" s="159"/>
      <c r="G3665" s="160"/>
    </row>
    <row r="3666" spans="2:7" x14ac:dyDescent="0.2">
      <c r="B3666" s="218" t="s">
        <v>638</v>
      </c>
      <c r="C3666" s="219" t="s">
        <v>2</v>
      </c>
      <c r="D3666" s="229">
        <v>0.75</v>
      </c>
      <c r="E3666" s="229">
        <v>5</v>
      </c>
      <c r="F3666" s="470">
        <v>56757.05</v>
      </c>
      <c r="G3666" s="221">
        <v>44696.17</v>
      </c>
    </row>
    <row r="3667" spans="2:7" x14ac:dyDescent="0.2">
      <c r="B3667" s="180"/>
      <c r="C3667" s="185"/>
      <c r="D3667" s="181"/>
      <c r="E3667" s="186"/>
      <c r="F3667" s="222"/>
      <c r="G3667" s="230"/>
    </row>
    <row r="3668" spans="2:7" x14ac:dyDescent="0.2">
      <c r="B3668" s="157"/>
      <c r="C3668" s="158"/>
      <c r="D3668" s="156"/>
      <c r="E3668" s="156"/>
      <c r="F3668" s="159" t="s">
        <v>452</v>
      </c>
      <c r="G3668" s="183">
        <v>44696.17</v>
      </c>
    </row>
    <row r="3669" spans="2:7" x14ac:dyDescent="0.2">
      <c r="B3669" s="161" t="s">
        <v>453</v>
      </c>
      <c r="C3669" s="158"/>
      <c r="D3669" s="156"/>
      <c r="E3669" s="156"/>
      <c r="F3669" s="159"/>
      <c r="G3669" s="160"/>
    </row>
    <row r="3670" spans="2:7" x14ac:dyDescent="0.2">
      <c r="B3670" s="218" t="s">
        <v>639</v>
      </c>
      <c r="C3670" s="219" t="s">
        <v>286</v>
      </c>
      <c r="D3670" s="229">
        <v>8.3333330000000001E-3</v>
      </c>
      <c r="E3670" s="229"/>
      <c r="F3670" s="470">
        <v>199920</v>
      </c>
      <c r="G3670" s="221">
        <v>1666</v>
      </c>
    </row>
    <row r="3671" spans="2:7" x14ac:dyDescent="0.2">
      <c r="B3671" s="180"/>
      <c r="C3671" s="185"/>
      <c r="D3671" s="181"/>
      <c r="E3671" s="186"/>
      <c r="F3671" s="222"/>
      <c r="G3671" s="230"/>
    </row>
    <row r="3672" spans="2:7" x14ac:dyDescent="0.2">
      <c r="B3672" s="157"/>
      <c r="C3672" s="158"/>
      <c r="D3672" s="156"/>
      <c r="E3672" s="156"/>
      <c r="F3672" s="159" t="s">
        <v>459</v>
      </c>
      <c r="G3672" s="183">
        <v>1666</v>
      </c>
    </row>
    <row r="3673" spans="2:7" x14ac:dyDescent="0.2">
      <c r="B3673" s="157"/>
      <c r="C3673" s="158"/>
      <c r="D3673" s="156"/>
      <c r="E3673" s="156"/>
      <c r="F3673" s="159"/>
      <c r="G3673" s="160"/>
    </row>
    <row r="3674" spans="2:7" ht="17" thickBot="1" x14ac:dyDescent="0.25">
      <c r="B3674" s="206"/>
      <c r="C3674" s="207"/>
      <c r="D3674" s="208"/>
      <c r="E3674" s="209" t="s">
        <v>460</v>
      </c>
      <c r="F3674" s="210">
        <v>295463.31</v>
      </c>
      <c r="G3674" s="211">
        <v>53306</v>
      </c>
    </row>
    <row r="3675" spans="2:7" ht="17" thickTop="1" x14ac:dyDescent="0.2">
      <c r="B3675" s="212"/>
      <c r="C3675" s="213"/>
      <c r="D3675" s="212"/>
      <c r="E3675" s="212"/>
      <c r="F3675" s="212"/>
      <c r="G3675" s="212"/>
    </row>
    <row r="3676" spans="2:7" x14ac:dyDescent="0.2">
      <c r="B3676" s="212"/>
      <c r="C3676" s="213"/>
      <c r="D3676" s="212"/>
      <c r="E3676" s="212"/>
      <c r="F3676" s="212"/>
      <c r="G3676" s="212"/>
    </row>
    <row r="3677" spans="2:7" ht="17" thickBot="1" x14ac:dyDescent="0.25">
      <c r="B3677" s="212"/>
      <c r="C3677" s="213"/>
      <c r="D3677" s="212"/>
      <c r="E3677" s="212"/>
      <c r="F3677" s="212"/>
      <c r="G3677" s="212"/>
    </row>
    <row r="3678" spans="2:7" ht="17" thickTop="1" x14ac:dyDescent="0.2">
      <c r="B3678" s="537" t="s">
        <v>144</v>
      </c>
      <c r="C3678" s="538"/>
      <c r="D3678" s="538"/>
      <c r="E3678" s="538"/>
      <c r="F3678" s="148"/>
      <c r="G3678" s="149" t="s">
        <v>636</v>
      </c>
    </row>
    <row r="3679" spans="2:7" x14ac:dyDescent="0.2">
      <c r="B3679" s="539"/>
      <c r="C3679" s="540"/>
      <c r="D3679" s="540"/>
      <c r="E3679" s="540"/>
      <c r="F3679" s="150"/>
      <c r="G3679" s="151" t="s">
        <v>477</v>
      </c>
    </row>
    <row r="3680" spans="2:7" x14ac:dyDescent="0.2">
      <c r="B3680" s="152" t="s">
        <v>1</v>
      </c>
      <c r="C3680" s="153" t="s">
        <v>2</v>
      </c>
      <c r="D3680" s="153" t="s">
        <v>3</v>
      </c>
      <c r="E3680" s="153" t="s">
        <v>441</v>
      </c>
      <c r="F3680" s="154" t="s">
        <v>442</v>
      </c>
      <c r="G3680" s="155" t="s">
        <v>443</v>
      </c>
    </row>
    <row r="3681" spans="2:7" x14ac:dyDescent="0.2">
      <c r="B3681" s="157"/>
      <c r="C3681" s="158"/>
      <c r="D3681" s="156"/>
      <c r="E3681" s="156"/>
      <c r="F3681" s="159"/>
      <c r="G3681" s="160"/>
    </row>
    <row r="3682" spans="2:7" x14ac:dyDescent="0.2">
      <c r="B3682" s="161" t="s">
        <v>444</v>
      </c>
      <c r="C3682" s="158"/>
      <c r="D3682" s="156"/>
      <c r="E3682" s="156"/>
      <c r="F3682" s="159"/>
      <c r="G3682" s="160"/>
    </row>
    <row r="3683" spans="2:7" x14ac:dyDescent="0.2">
      <c r="B3683" s="236"/>
      <c r="C3683" s="185"/>
      <c r="D3683" s="181"/>
      <c r="E3683" s="186"/>
      <c r="F3683" s="222"/>
      <c r="G3683" s="237"/>
    </row>
    <row r="3684" spans="2:7" x14ac:dyDescent="0.2">
      <c r="B3684" s="157"/>
      <c r="C3684" s="158"/>
      <c r="D3684" s="156"/>
      <c r="E3684" s="156"/>
      <c r="F3684" s="159" t="s">
        <v>446</v>
      </c>
      <c r="G3684" s="183" t="s">
        <v>465</v>
      </c>
    </row>
    <row r="3685" spans="2:7" x14ac:dyDescent="0.2">
      <c r="B3685" s="379" t="s">
        <v>447</v>
      </c>
      <c r="C3685" s="158" t="s">
        <v>588</v>
      </c>
      <c r="D3685" s="158" t="s">
        <v>589</v>
      </c>
      <c r="E3685" s="158" t="s">
        <v>590</v>
      </c>
      <c r="F3685" s="380" t="s">
        <v>591</v>
      </c>
      <c r="G3685" s="381" t="s">
        <v>592</v>
      </c>
    </row>
    <row r="3686" spans="2:7" x14ac:dyDescent="0.2">
      <c r="B3686" s="471" t="s">
        <v>637</v>
      </c>
      <c r="C3686" s="462">
        <v>94469</v>
      </c>
      <c r="D3686" s="181">
        <v>1.47</v>
      </c>
      <c r="E3686" s="396">
        <v>138869</v>
      </c>
      <c r="F3686" s="397">
        <v>0.05</v>
      </c>
      <c r="G3686" s="463">
        <v>6943.45</v>
      </c>
    </row>
    <row r="3687" spans="2:7" x14ac:dyDescent="0.2">
      <c r="B3687" s="180"/>
      <c r="C3687" s="185"/>
      <c r="D3687" s="181"/>
      <c r="E3687" s="186"/>
      <c r="F3687" s="222"/>
      <c r="G3687" s="237"/>
    </row>
    <row r="3688" spans="2:7" x14ac:dyDescent="0.2">
      <c r="B3688" s="157"/>
      <c r="C3688" s="158"/>
      <c r="D3688" s="156"/>
      <c r="E3688" s="156"/>
      <c r="F3688" s="159" t="s">
        <v>449</v>
      </c>
      <c r="G3688" s="183">
        <v>6943.45</v>
      </c>
    </row>
    <row r="3689" spans="2:7" x14ac:dyDescent="0.2">
      <c r="B3689" s="161" t="s">
        <v>450</v>
      </c>
      <c r="C3689" s="158"/>
      <c r="D3689" s="156"/>
      <c r="E3689" s="156"/>
      <c r="F3689" s="159"/>
      <c r="G3689" s="160"/>
    </row>
    <row r="3690" spans="2:7" x14ac:dyDescent="0.2">
      <c r="B3690" s="218" t="s">
        <v>638</v>
      </c>
      <c r="C3690" s="219" t="s">
        <v>2</v>
      </c>
      <c r="D3690" s="229">
        <v>1</v>
      </c>
      <c r="E3690" s="229">
        <v>5</v>
      </c>
      <c r="F3690" s="470">
        <v>56757.05</v>
      </c>
      <c r="G3690" s="221">
        <v>59594.9</v>
      </c>
    </row>
    <row r="3691" spans="2:7" x14ac:dyDescent="0.2">
      <c r="B3691" s="180"/>
      <c r="C3691" s="185"/>
      <c r="D3691" s="181"/>
      <c r="E3691" s="186"/>
      <c r="F3691" s="222"/>
      <c r="G3691" s="230"/>
    </row>
    <row r="3692" spans="2:7" x14ac:dyDescent="0.2">
      <c r="B3692" s="157"/>
      <c r="C3692" s="158"/>
      <c r="D3692" s="156"/>
      <c r="E3692" s="156"/>
      <c r="F3692" s="159" t="s">
        <v>452</v>
      </c>
      <c r="G3692" s="183">
        <v>59594.9</v>
      </c>
    </row>
    <row r="3693" spans="2:7" x14ac:dyDescent="0.2">
      <c r="B3693" s="161" t="s">
        <v>453</v>
      </c>
      <c r="C3693" s="158"/>
      <c r="D3693" s="156"/>
      <c r="E3693" s="156"/>
      <c r="F3693" s="159"/>
      <c r="G3693" s="160"/>
    </row>
    <row r="3694" spans="2:7" x14ac:dyDescent="0.2">
      <c r="B3694" s="218" t="s">
        <v>639</v>
      </c>
      <c r="C3694" s="219" t="s">
        <v>286</v>
      </c>
      <c r="D3694" s="229">
        <v>8.3333330000000001E-3</v>
      </c>
      <c r="E3694" s="229"/>
      <c r="F3694" s="470">
        <v>199920</v>
      </c>
      <c r="G3694" s="221">
        <v>1666</v>
      </c>
    </row>
    <row r="3695" spans="2:7" x14ac:dyDescent="0.2">
      <c r="B3695" s="180"/>
      <c r="C3695" s="185"/>
      <c r="D3695" s="181"/>
      <c r="E3695" s="186"/>
      <c r="F3695" s="222"/>
      <c r="G3695" s="230"/>
    </row>
    <row r="3696" spans="2:7" x14ac:dyDescent="0.2">
      <c r="B3696" s="157"/>
      <c r="C3696" s="158"/>
      <c r="D3696" s="156"/>
      <c r="E3696" s="156"/>
      <c r="F3696" s="159" t="s">
        <v>459</v>
      </c>
      <c r="G3696" s="183">
        <v>1666</v>
      </c>
    </row>
    <row r="3697" spans="2:7" x14ac:dyDescent="0.2">
      <c r="B3697" s="157"/>
      <c r="C3697" s="158"/>
      <c r="D3697" s="156"/>
      <c r="E3697" s="156"/>
      <c r="F3697" s="159"/>
      <c r="G3697" s="160"/>
    </row>
    <row r="3698" spans="2:7" ht="17" thickBot="1" x14ac:dyDescent="0.25">
      <c r="B3698" s="206"/>
      <c r="C3698" s="207"/>
      <c r="D3698" s="208"/>
      <c r="E3698" s="209" t="s">
        <v>460</v>
      </c>
      <c r="F3698" s="210">
        <v>564201.24</v>
      </c>
      <c r="G3698" s="211">
        <v>68204</v>
      </c>
    </row>
    <row r="3699" spans="2:7" ht="17" thickTop="1" x14ac:dyDescent="0.2">
      <c r="B3699" s="212"/>
      <c r="C3699" s="213"/>
      <c r="D3699" s="212"/>
      <c r="E3699" s="212"/>
      <c r="F3699" s="212"/>
      <c r="G3699" s="212"/>
    </row>
    <row r="3700" spans="2:7" x14ac:dyDescent="0.2">
      <c r="B3700" s="212"/>
      <c r="C3700" s="213"/>
      <c r="D3700" s="212"/>
      <c r="E3700" s="212"/>
      <c r="F3700" s="212"/>
      <c r="G3700" s="212"/>
    </row>
    <row r="3701" spans="2:7" ht="17" thickBot="1" x14ac:dyDescent="0.25">
      <c r="B3701" s="212"/>
      <c r="C3701" s="213"/>
      <c r="D3701" s="212"/>
      <c r="E3701" s="212"/>
      <c r="F3701" s="212"/>
      <c r="G3701" s="212"/>
    </row>
    <row r="3702" spans="2:7" ht="17" thickTop="1" x14ac:dyDescent="0.2">
      <c r="B3702" s="537" t="s">
        <v>145</v>
      </c>
      <c r="C3702" s="538"/>
      <c r="D3702" s="538"/>
      <c r="E3702" s="538"/>
      <c r="F3702" s="148"/>
      <c r="G3702" s="149" t="s">
        <v>636</v>
      </c>
    </row>
    <row r="3703" spans="2:7" x14ac:dyDescent="0.2">
      <c r="B3703" s="539"/>
      <c r="C3703" s="540"/>
      <c r="D3703" s="540"/>
      <c r="E3703" s="540"/>
      <c r="F3703" s="150"/>
      <c r="G3703" s="151" t="s">
        <v>477</v>
      </c>
    </row>
    <row r="3704" spans="2:7" x14ac:dyDescent="0.2">
      <c r="B3704" s="152" t="s">
        <v>1</v>
      </c>
      <c r="C3704" s="153" t="s">
        <v>2</v>
      </c>
      <c r="D3704" s="153" t="s">
        <v>3</v>
      </c>
      <c r="E3704" s="153" t="s">
        <v>441</v>
      </c>
      <c r="F3704" s="154" t="s">
        <v>442</v>
      </c>
      <c r="G3704" s="155" t="s">
        <v>443</v>
      </c>
    </row>
    <row r="3705" spans="2:7" x14ac:dyDescent="0.2">
      <c r="B3705" s="157"/>
      <c r="C3705" s="158"/>
      <c r="D3705" s="156"/>
      <c r="E3705" s="156"/>
      <c r="F3705" s="159"/>
      <c r="G3705" s="160"/>
    </row>
    <row r="3706" spans="2:7" x14ac:dyDescent="0.2">
      <c r="B3706" s="161" t="s">
        <v>444</v>
      </c>
      <c r="C3706" s="158"/>
      <c r="D3706" s="156"/>
      <c r="E3706" s="156"/>
      <c r="F3706" s="159"/>
      <c r="G3706" s="160"/>
    </row>
    <row r="3707" spans="2:7" x14ac:dyDescent="0.2">
      <c r="B3707" s="236"/>
      <c r="C3707" s="185"/>
      <c r="D3707" s="181"/>
      <c r="E3707" s="186"/>
      <c r="F3707" s="222"/>
      <c r="G3707" s="237"/>
    </row>
    <row r="3708" spans="2:7" x14ac:dyDescent="0.2">
      <c r="B3708" s="157"/>
      <c r="C3708" s="158"/>
      <c r="D3708" s="156"/>
      <c r="E3708" s="156"/>
      <c r="F3708" s="159" t="s">
        <v>446</v>
      </c>
      <c r="G3708" s="183" t="s">
        <v>465</v>
      </c>
    </row>
    <row r="3709" spans="2:7" x14ac:dyDescent="0.2">
      <c r="B3709" s="379" t="s">
        <v>447</v>
      </c>
      <c r="C3709" s="158" t="s">
        <v>588</v>
      </c>
      <c r="D3709" s="158" t="s">
        <v>589</v>
      </c>
      <c r="E3709" s="158" t="s">
        <v>590</v>
      </c>
      <c r="F3709" s="380" t="s">
        <v>591</v>
      </c>
      <c r="G3709" s="381" t="s">
        <v>592</v>
      </c>
    </row>
    <row r="3710" spans="2:7" x14ac:dyDescent="0.2">
      <c r="B3710" s="471" t="s">
        <v>637</v>
      </c>
      <c r="C3710" s="462">
        <v>94469</v>
      </c>
      <c r="D3710" s="181">
        <v>1.47</v>
      </c>
      <c r="E3710" s="396">
        <v>138869</v>
      </c>
      <c r="F3710" s="397">
        <v>6.3E-2</v>
      </c>
      <c r="G3710" s="463">
        <v>8679.31</v>
      </c>
    </row>
    <row r="3711" spans="2:7" x14ac:dyDescent="0.2">
      <c r="B3711" s="180"/>
      <c r="C3711" s="185"/>
      <c r="D3711" s="181"/>
      <c r="E3711" s="186"/>
      <c r="F3711" s="222"/>
      <c r="G3711" s="237"/>
    </row>
    <row r="3712" spans="2:7" x14ac:dyDescent="0.2">
      <c r="B3712" s="157"/>
      <c r="C3712" s="158"/>
      <c r="D3712" s="156"/>
      <c r="E3712" s="156"/>
      <c r="F3712" s="159" t="s">
        <v>449</v>
      </c>
      <c r="G3712" s="183">
        <v>8679.31</v>
      </c>
    </row>
    <row r="3713" spans="2:7" x14ac:dyDescent="0.2">
      <c r="B3713" s="161" t="s">
        <v>450</v>
      </c>
      <c r="C3713" s="158"/>
      <c r="D3713" s="156"/>
      <c r="E3713" s="156"/>
      <c r="F3713" s="159"/>
      <c r="G3713" s="160"/>
    </row>
    <row r="3714" spans="2:7" x14ac:dyDescent="0.2">
      <c r="B3714" s="218" t="s">
        <v>638</v>
      </c>
      <c r="C3714" s="219" t="s">
        <v>2</v>
      </c>
      <c r="D3714" s="229">
        <v>1.25</v>
      </c>
      <c r="E3714" s="229">
        <v>5</v>
      </c>
      <c r="F3714" s="470">
        <v>56757.05</v>
      </c>
      <c r="G3714" s="221">
        <v>74493.62</v>
      </c>
    </row>
    <row r="3715" spans="2:7" x14ac:dyDescent="0.2">
      <c r="B3715" s="180"/>
      <c r="C3715" s="185"/>
      <c r="D3715" s="181"/>
      <c r="E3715" s="186"/>
      <c r="F3715" s="222"/>
      <c r="G3715" s="230"/>
    </row>
    <row r="3716" spans="2:7" x14ac:dyDescent="0.2">
      <c r="B3716" s="157"/>
      <c r="C3716" s="158"/>
      <c r="D3716" s="156"/>
      <c r="E3716" s="156"/>
      <c r="F3716" s="159" t="s">
        <v>452</v>
      </c>
      <c r="G3716" s="183">
        <v>74493.62</v>
      </c>
    </row>
    <row r="3717" spans="2:7" x14ac:dyDescent="0.2">
      <c r="B3717" s="161" t="s">
        <v>453</v>
      </c>
      <c r="C3717" s="158"/>
      <c r="D3717" s="156"/>
      <c r="E3717" s="156"/>
      <c r="F3717" s="159"/>
      <c r="G3717" s="160"/>
    </row>
    <row r="3718" spans="2:7" x14ac:dyDescent="0.2">
      <c r="B3718" s="218" t="s">
        <v>639</v>
      </c>
      <c r="C3718" s="219" t="s">
        <v>286</v>
      </c>
      <c r="D3718" s="229">
        <v>8.3333330000000001E-3</v>
      </c>
      <c r="E3718" s="229"/>
      <c r="F3718" s="470">
        <v>199920</v>
      </c>
      <c r="G3718" s="221">
        <v>1666</v>
      </c>
    </row>
    <row r="3719" spans="2:7" x14ac:dyDescent="0.2">
      <c r="B3719" s="180"/>
      <c r="C3719" s="185"/>
      <c r="D3719" s="181"/>
      <c r="E3719" s="186"/>
      <c r="F3719" s="222"/>
      <c r="G3719" s="230"/>
    </row>
    <row r="3720" spans="2:7" x14ac:dyDescent="0.2">
      <c r="B3720" s="157"/>
      <c r="C3720" s="158"/>
      <c r="D3720" s="156"/>
      <c r="E3720" s="156"/>
      <c r="F3720" s="159" t="s">
        <v>459</v>
      </c>
      <c r="G3720" s="183">
        <v>1666</v>
      </c>
    </row>
    <row r="3721" spans="2:7" x14ac:dyDescent="0.2">
      <c r="B3721" s="157"/>
      <c r="C3721" s="158"/>
      <c r="D3721" s="156"/>
      <c r="E3721" s="156"/>
      <c r="F3721" s="159"/>
      <c r="G3721" s="160"/>
    </row>
    <row r="3722" spans="2:7" ht="17" thickBot="1" x14ac:dyDescent="0.25">
      <c r="B3722" s="206"/>
      <c r="C3722" s="207"/>
      <c r="D3722" s="208"/>
      <c r="E3722" s="209" t="s">
        <v>460</v>
      </c>
      <c r="F3722" s="210" t="s">
        <v>461</v>
      </c>
      <c r="G3722" s="211">
        <v>84839</v>
      </c>
    </row>
    <row r="3723" spans="2:7" ht="17" thickTop="1" x14ac:dyDescent="0.2">
      <c r="B3723" s="212"/>
      <c r="C3723" s="213"/>
      <c r="D3723" s="212"/>
      <c r="E3723" s="212"/>
      <c r="F3723" s="212"/>
      <c r="G3723" s="212"/>
    </row>
    <row r="3724" spans="2:7" x14ac:dyDescent="0.2">
      <c r="B3724" s="212"/>
      <c r="C3724" s="213"/>
      <c r="D3724" s="212"/>
      <c r="E3724" s="212"/>
      <c r="F3724" s="212"/>
      <c r="G3724" s="212"/>
    </row>
    <row r="3725" spans="2:7" ht="17" thickBot="1" x14ac:dyDescent="0.25">
      <c r="B3725" s="212"/>
      <c r="C3725" s="213"/>
      <c r="D3725" s="212"/>
      <c r="E3725" s="212"/>
      <c r="F3725" s="212"/>
      <c r="G3725" s="212"/>
    </row>
    <row r="3726" spans="2:7" ht="17" thickTop="1" x14ac:dyDescent="0.2">
      <c r="B3726" s="537" t="s">
        <v>148</v>
      </c>
      <c r="C3726" s="538"/>
      <c r="D3726" s="538"/>
      <c r="E3726" s="538"/>
      <c r="F3726" s="148"/>
      <c r="G3726" s="149" t="s">
        <v>636</v>
      </c>
    </row>
    <row r="3727" spans="2:7" x14ac:dyDescent="0.2">
      <c r="B3727" s="539"/>
      <c r="C3727" s="540"/>
      <c r="D3727" s="540"/>
      <c r="E3727" s="540"/>
      <c r="F3727" s="150"/>
      <c r="G3727" s="151" t="s">
        <v>477</v>
      </c>
    </row>
    <row r="3728" spans="2:7" x14ac:dyDescent="0.2">
      <c r="B3728" s="152" t="s">
        <v>1</v>
      </c>
      <c r="C3728" s="153" t="s">
        <v>2</v>
      </c>
      <c r="D3728" s="153" t="s">
        <v>3</v>
      </c>
      <c r="E3728" s="153" t="s">
        <v>441</v>
      </c>
      <c r="F3728" s="154" t="s">
        <v>442</v>
      </c>
      <c r="G3728" s="155" t="s">
        <v>443</v>
      </c>
    </row>
    <row r="3729" spans="2:7" x14ac:dyDescent="0.2">
      <c r="B3729" s="157"/>
      <c r="C3729" s="158"/>
      <c r="D3729" s="156"/>
      <c r="E3729" s="156"/>
      <c r="F3729" s="159"/>
      <c r="G3729" s="160"/>
    </row>
    <row r="3730" spans="2:7" x14ac:dyDescent="0.2">
      <c r="B3730" s="161" t="s">
        <v>444</v>
      </c>
      <c r="C3730" s="158"/>
      <c r="D3730" s="156"/>
      <c r="E3730" s="156"/>
      <c r="F3730" s="159"/>
      <c r="G3730" s="160"/>
    </row>
    <row r="3731" spans="2:7" x14ac:dyDescent="0.2">
      <c r="B3731" s="236"/>
      <c r="C3731" s="185"/>
      <c r="D3731" s="181"/>
      <c r="E3731" s="186"/>
      <c r="F3731" s="222"/>
      <c r="G3731" s="237"/>
    </row>
    <row r="3732" spans="2:7" x14ac:dyDescent="0.2">
      <c r="B3732" s="157"/>
      <c r="C3732" s="158"/>
      <c r="D3732" s="156"/>
      <c r="E3732" s="156"/>
      <c r="F3732" s="159" t="s">
        <v>446</v>
      </c>
      <c r="G3732" s="183" t="s">
        <v>465</v>
      </c>
    </row>
    <row r="3733" spans="2:7" x14ac:dyDescent="0.2">
      <c r="B3733" s="379" t="s">
        <v>447</v>
      </c>
      <c r="C3733" s="158" t="s">
        <v>588</v>
      </c>
      <c r="D3733" s="158" t="s">
        <v>589</v>
      </c>
      <c r="E3733" s="158" t="s">
        <v>590</v>
      </c>
      <c r="F3733" s="380" t="s">
        <v>591</v>
      </c>
      <c r="G3733" s="381" t="s">
        <v>592</v>
      </c>
    </row>
    <row r="3734" spans="2:7" x14ac:dyDescent="0.2">
      <c r="B3734" s="471" t="s">
        <v>637</v>
      </c>
      <c r="C3734" s="462">
        <v>94469</v>
      </c>
      <c r="D3734" s="181">
        <v>1.47</v>
      </c>
      <c r="E3734" s="396">
        <v>138869</v>
      </c>
      <c r="F3734" s="397">
        <v>6.3E-2</v>
      </c>
      <c r="G3734" s="463">
        <v>8679.31</v>
      </c>
    </row>
    <row r="3735" spans="2:7" x14ac:dyDescent="0.2">
      <c r="B3735" s="180"/>
      <c r="C3735" s="185"/>
      <c r="D3735" s="181"/>
      <c r="E3735" s="186"/>
      <c r="F3735" s="222"/>
      <c r="G3735" s="237"/>
    </row>
    <row r="3736" spans="2:7" x14ac:dyDescent="0.2">
      <c r="B3736" s="157"/>
      <c r="C3736" s="158"/>
      <c r="D3736" s="156"/>
      <c r="E3736" s="156"/>
      <c r="F3736" s="159" t="s">
        <v>449</v>
      </c>
      <c r="G3736" s="183">
        <v>8679.31</v>
      </c>
    </row>
    <row r="3737" spans="2:7" x14ac:dyDescent="0.2">
      <c r="B3737" s="161" t="s">
        <v>450</v>
      </c>
      <c r="C3737" s="158"/>
      <c r="D3737" s="156"/>
      <c r="E3737" s="156"/>
      <c r="F3737" s="159"/>
      <c r="G3737" s="160"/>
    </row>
    <row r="3738" spans="2:7" x14ac:dyDescent="0.2">
      <c r="B3738" s="218" t="s">
        <v>640</v>
      </c>
      <c r="C3738" s="219" t="s">
        <v>114</v>
      </c>
      <c r="D3738" s="229">
        <v>0.16666666699999999</v>
      </c>
      <c r="E3738" s="229">
        <v>5</v>
      </c>
      <c r="F3738" s="470">
        <v>179673.34</v>
      </c>
      <c r="G3738" s="221">
        <v>31442.83</v>
      </c>
    </row>
    <row r="3739" spans="2:7" x14ac:dyDescent="0.2">
      <c r="B3739" s="180"/>
      <c r="C3739" s="185"/>
      <c r="D3739" s="181"/>
      <c r="E3739" s="186"/>
      <c r="F3739" s="222"/>
      <c r="G3739" s="230"/>
    </row>
    <row r="3740" spans="2:7" x14ac:dyDescent="0.2">
      <c r="B3740" s="157"/>
      <c r="C3740" s="158"/>
      <c r="D3740" s="156"/>
      <c r="E3740" s="156"/>
      <c r="F3740" s="159" t="s">
        <v>452</v>
      </c>
      <c r="G3740" s="183">
        <v>31442.83</v>
      </c>
    </row>
    <row r="3741" spans="2:7" x14ac:dyDescent="0.2">
      <c r="B3741" s="161" t="s">
        <v>453</v>
      </c>
      <c r="C3741" s="158"/>
      <c r="D3741" s="156"/>
      <c r="E3741" s="156"/>
      <c r="F3741" s="159"/>
      <c r="G3741" s="160"/>
    </row>
    <row r="3742" spans="2:7" x14ac:dyDescent="0.2">
      <c r="B3742" s="218" t="s">
        <v>639</v>
      </c>
      <c r="C3742" s="219" t="s">
        <v>286</v>
      </c>
      <c r="D3742" s="229">
        <v>2.7777779999999998E-3</v>
      </c>
      <c r="E3742" s="229"/>
      <c r="F3742" s="470">
        <v>448392</v>
      </c>
      <c r="G3742" s="221">
        <v>1245.53</v>
      </c>
    </row>
    <row r="3743" spans="2:7" x14ac:dyDescent="0.2">
      <c r="B3743" s="180"/>
      <c r="C3743" s="185"/>
      <c r="D3743" s="181"/>
      <c r="E3743" s="186"/>
      <c r="F3743" s="222"/>
      <c r="G3743" s="230"/>
    </row>
    <row r="3744" spans="2:7" x14ac:dyDescent="0.2">
      <c r="B3744" s="157"/>
      <c r="C3744" s="158"/>
      <c r="D3744" s="156"/>
      <c r="E3744" s="156"/>
      <c r="F3744" s="159" t="s">
        <v>459</v>
      </c>
      <c r="G3744" s="183">
        <v>1245.53</v>
      </c>
    </row>
    <row r="3745" spans="2:7" x14ac:dyDescent="0.2">
      <c r="B3745" s="157"/>
      <c r="C3745" s="158"/>
      <c r="D3745" s="156"/>
      <c r="E3745" s="156"/>
      <c r="F3745" s="159"/>
      <c r="G3745" s="160"/>
    </row>
    <row r="3746" spans="2:7" ht="17" thickBot="1" x14ac:dyDescent="0.25">
      <c r="B3746" s="206"/>
      <c r="C3746" s="207"/>
      <c r="D3746" s="208"/>
      <c r="E3746" s="209" t="s">
        <v>460</v>
      </c>
      <c r="F3746" s="210">
        <v>991</v>
      </c>
      <c r="G3746" s="211">
        <v>41368</v>
      </c>
    </row>
    <row r="3747" spans="2:7" ht="17" thickTop="1" x14ac:dyDescent="0.2">
      <c r="B3747" s="212"/>
      <c r="C3747" s="213"/>
      <c r="D3747" s="212"/>
      <c r="E3747" s="212"/>
      <c r="F3747" s="212"/>
      <c r="G3747" s="212"/>
    </row>
    <row r="3748" spans="2:7" x14ac:dyDescent="0.2">
      <c r="B3748" s="212"/>
      <c r="C3748" s="213"/>
      <c r="D3748" s="212"/>
      <c r="E3748" s="212"/>
      <c r="F3748" s="212"/>
      <c r="G3748" s="212"/>
    </row>
    <row r="3749" spans="2:7" ht="17" thickBot="1" x14ac:dyDescent="0.25">
      <c r="B3749" s="212"/>
      <c r="C3749" s="213"/>
      <c r="D3749" s="212"/>
      <c r="E3749" s="212"/>
      <c r="F3749" s="212"/>
      <c r="G3749" s="212"/>
    </row>
    <row r="3750" spans="2:7" ht="17" thickTop="1" x14ac:dyDescent="0.2">
      <c r="B3750" s="537" t="s">
        <v>149</v>
      </c>
      <c r="C3750" s="538"/>
      <c r="D3750" s="538"/>
      <c r="E3750" s="538"/>
      <c r="F3750" s="148"/>
      <c r="G3750" s="149" t="s">
        <v>636</v>
      </c>
    </row>
    <row r="3751" spans="2:7" x14ac:dyDescent="0.2">
      <c r="B3751" s="539"/>
      <c r="C3751" s="540"/>
      <c r="D3751" s="540"/>
      <c r="E3751" s="540"/>
      <c r="F3751" s="150"/>
      <c r="G3751" s="151" t="s">
        <v>477</v>
      </c>
    </row>
    <row r="3752" spans="2:7" x14ac:dyDescent="0.2">
      <c r="B3752" s="152" t="s">
        <v>1</v>
      </c>
      <c r="C3752" s="153" t="s">
        <v>2</v>
      </c>
      <c r="D3752" s="153" t="s">
        <v>3</v>
      </c>
      <c r="E3752" s="153" t="s">
        <v>441</v>
      </c>
      <c r="F3752" s="154" t="s">
        <v>442</v>
      </c>
      <c r="G3752" s="155" t="s">
        <v>443</v>
      </c>
    </row>
    <row r="3753" spans="2:7" x14ac:dyDescent="0.2">
      <c r="B3753" s="157"/>
      <c r="C3753" s="158"/>
      <c r="D3753" s="156"/>
      <c r="E3753" s="156"/>
      <c r="F3753" s="159"/>
      <c r="G3753" s="160"/>
    </row>
    <row r="3754" spans="2:7" x14ac:dyDescent="0.2">
      <c r="B3754" s="161" t="s">
        <v>444</v>
      </c>
      <c r="C3754" s="158"/>
      <c r="D3754" s="156"/>
      <c r="E3754" s="156"/>
      <c r="F3754" s="159"/>
      <c r="G3754" s="160"/>
    </row>
    <row r="3755" spans="2:7" x14ac:dyDescent="0.2">
      <c r="B3755" s="236"/>
      <c r="C3755" s="185"/>
      <c r="D3755" s="181"/>
      <c r="E3755" s="186"/>
      <c r="F3755" s="222"/>
      <c r="G3755" s="237"/>
    </row>
    <row r="3756" spans="2:7" x14ac:dyDescent="0.2">
      <c r="B3756" s="157"/>
      <c r="C3756" s="158"/>
      <c r="D3756" s="156"/>
      <c r="E3756" s="156"/>
      <c r="F3756" s="159" t="s">
        <v>446</v>
      </c>
      <c r="G3756" s="183" t="s">
        <v>465</v>
      </c>
    </row>
    <row r="3757" spans="2:7" x14ac:dyDescent="0.2">
      <c r="B3757" s="379" t="s">
        <v>447</v>
      </c>
      <c r="C3757" s="158" t="s">
        <v>588</v>
      </c>
      <c r="D3757" s="158" t="s">
        <v>589</v>
      </c>
      <c r="E3757" s="158" t="s">
        <v>590</v>
      </c>
      <c r="F3757" s="380" t="s">
        <v>591</v>
      </c>
      <c r="G3757" s="381" t="s">
        <v>592</v>
      </c>
    </row>
    <row r="3758" spans="2:7" x14ac:dyDescent="0.2">
      <c r="B3758" s="471" t="s">
        <v>637</v>
      </c>
      <c r="C3758" s="462">
        <v>94469</v>
      </c>
      <c r="D3758" s="181">
        <v>1.47</v>
      </c>
      <c r="E3758" s="396">
        <v>138869</v>
      </c>
      <c r="F3758" s="397">
        <v>7.4999999999999997E-2</v>
      </c>
      <c r="G3758" s="463">
        <v>10415.18</v>
      </c>
    </row>
    <row r="3759" spans="2:7" x14ac:dyDescent="0.2">
      <c r="B3759" s="180"/>
      <c r="C3759" s="185"/>
      <c r="D3759" s="181"/>
      <c r="E3759" s="186"/>
      <c r="F3759" s="222"/>
      <c r="G3759" s="237"/>
    </row>
    <row r="3760" spans="2:7" x14ac:dyDescent="0.2">
      <c r="B3760" s="157"/>
      <c r="C3760" s="158"/>
      <c r="D3760" s="156"/>
      <c r="E3760" s="156"/>
      <c r="F3760" s="159" t="s">
        <v>449</v>
      </c>
      <c r="G3760" s="183">
        <v>10415.18</v>
      </c>
    </row>
    <row r="3761" spans="2:7" x14ac:dyDescent="0.2">
      <c r="B3761" s="161" t="s">
        <v>450</v>
      </c>
      <c r="C3761" s="158"/>
      <c r="D3761" s="156"/>
      <c r="E3761" s="156"/>
      <c r="F3761" s="159"/>
      <c r="G3761" s="160"/>
    </row>
    <row r="3762" spans="2:7" x14ac:dyDescent="0.2">
      <c r="B3762" s="218" t="s">
        <v>640</v>
      </c>
      <c r="C3762" s="219" t="s">
        <v>114</v>
      </c>
      <c r="D3762" s="229">
        <v>0.33333333300000001</v>
      </c>
      <c r="E3762" s="229">
        <v>5</v>
      </c>
      <c r="F3762" s="470">
        <v>179673.34</v>
      </c>
      <c r="G3762" s="221">
        <v>62885.66</v>
      </c>
    </row>
    <row r="3763" spans="2:7" x14ac:dyDescent="0.2">
      <c r="B3763" s="180"/>
      <c r="C3763" s="185"/>
      <c r="D3763" s="181"/>
      <c r="E3763" s="186"/>
      <c r="F3763" s="222"/>
      <c r="G3763" s="230"/>
    </row>
    <row r="3764" spans="2:7" x14ac:dyDescent="0.2">
      <c r="B3764" s="157"/>
      <c r="C3764" s="158"/>
      <c r="D3764" s="156"/>
      <c r="E3764" s="156"/>
      <c r="F3764" s="159" t="s">
        <v>452</v>
      </c>
      <c r="G3764" s="183">
        <v>62885.66</v>
      </c>
    </row>
    <row r="3765" spans="2:7" x14ac:dyDescent="0.2">
      <c r="B3765" s="161" t="s">
        <v>453</v>
      </c>
      <c r="C3765" s="158"/>
      <c r="D3765" s="156"/>
      <c r="E3765" s="156"/>
      <c r="F3765" s="159"/>
      <c r="G3765" s="160"/>
    </row>
    <row r="3766" spans="2:7" x14ac:dyDescent="0.2">
      <c r="B3766" s="218" t="s">
        <v>639</v>
      </c>
      <c r="C3766" s="219" t="s">
        <v>286</v>
      </c>
      <c r="D3766" s="229">
        <v>2.7777779999999998E-3</v>
      </c>
      <c r="E3766" s="229"/>
      <c r="F3766" s="470">
        <v>448392</v>
      </c>
      <c r="G3766" s="221">
        <v>1245.53</v>
      </c>
    </row>
    <row r="3767" spans="2:7" x14ac:dyDescent="0.2">
      <c r="B3767" s="180"/>
      <c r="C3767" s="185"/>
      <c r="D3767" s="181"/>
      <c r="E3767" s="186"/>
      <c r="F3767" s="222"/>
      <c r="G3767" s="230"/>
    </row>
    <row r="3768" spans="2:7" x14ac:dyDescent="0.2">
      <c r="B3768" s="157"/>
      <c r="C3768" s="158"/>
      <c r="D3768" s="156"/>
      <c r="E3768" s="156"/>
      <c r="F3768" s="159" t="s">
        <v>459</v>
      </c>
      <c r="G3768" s="183">
        <v>1245.53</v>
      </c>
    </row>
    <row r="3769" spans="2:7" x14ac:dyDescent="0.2">
      <c r="B3769" s="157"/>
      <c r="C3769" s="158"/>
      <c r="D3769" s="156"/>
      <c r="E3769" s="156"/>
      <c r="F3769" s="159"/>
      <c r="G3769" s="160"/>
    </row>
    <row r="3770" spans="2:7" ht="17" thickBot="1" x14ac:dyDescent="0.25">
      <c r="B3770" s="206"/>
      <c r="C3770" s="207"/>
      <c r="D3770" s="208"/>
      <c r="E3770" s="209" t="s">
        <v>460</v>
      </c>
      <c r="F3770" s="210">
        <v>991</v>
      </c>
      <c r="G3770" s="211">
        <v>74546</v>
      </c>
    </row>
    <row r="3771" spans="2:7" ht="17" thickTop="1" x14ac:dyDescent="0.2">
      <c r="B3771" s="212"/>
      <c r="C3771" s="213"/>
      <c r="D3771" s="212"/>
      <c r="E3771" s="212"/>
      <c r="F3771" s="212"/>
      <c r="G3771" s="212"/>
    </row>
    <row r="3772" spans="2:7" x14ac:dyDescent="0.2">
      <c r="B3772" s="212"/>
      <c r="C3772" s="213"/>
      <c r="D3772" s="212"/>
      <c r="E3772" s="212"/>
      <c r="F3772" s="212"/>
      <c r="G3772" s="212"/>
    </row>
    <row r="3773" spans="2:7" ht="17" thickBot="1" x14ac:dyDescent="0.25">
      <c r="B3773" s="212"/>
      <c r="C3773" s="213"/>
      <c r="D3773" s="212"/>
      <c r="E3773" s="212"/>
      <c r="F3773" s="212"/>
      <c r="G3773" s="212"/>
    </row>
    <row r="3774" spans="2:7" ht="17" thickTop="1" x14ac:dyDescent="0.2">
      <c r="B3774" s="537" t="s">
        <v>150</v>
      </c>
      <c r="C3774" s="538"/>
      <c r="D3774" s="538"/>
      <c r="E3774" s="538"/>
      <c r="F3774" s="148"/>
      <c r="G3774" s="149" t="s">
        <v>636</v>
      </c>
    </row>
    <row r="3775" spans="2:7" x14ac:dyDescent="0.2">
      <c r="B3775" s="539"/>
      <c r="C3775" s="540"/>
      <c r="D3775" s="540"/>
      <c r="E3775" s="540"/>
      <c r="F3775" s="150"/>
      <c r="G3775" s="151" t="s">
        <v>477</v>
      </c>
    </row>
    <row r="3776" spans="2:7" x14ac:dyDescent="0.2">
      <c r="B3776" s="152" t="s">
        <v>1</v>
      </c>
      <c r="C3776" s="153" t="s">
        <v>2</v>
      </c>
      <c r="D3776" s="153" t="s">
        <v>3</v>
      </c>
      <c r="E3776" s="153" t="s">
        <v>441</v>
      </c>
      <c r="F3776" s="154" t="s">
        <v>442</v>
      </c>
      <c r="G3776" s="155" t="s">
        <v>443</v>
      </c>
    </row>
    <row r="3777" spans="2:7" x14ac:dyDescent="0.2">
      <c r="B3777" s="157"/>
      <c r="C3777" s="158"/>
      <c r="D3777" s="156"/>
      <c r="E3777" s="156"/>
      <c r="F3777" s="159"/>
      <c r="G3777" s="160"/>
    </row>
    <row r="3778" spans="2:7" x14ac:dyDescent="0.2">
      <c r="B3778" s="161" t="s">
        <v>444</v>
      </c>
      <c r="C3778" s="158"/>
      <c r="D3778" s="156"/>
      <c r="E3778" s="156"/>
      <c r="F3778" s="159"/>
      <c r="G3778" s="160"/>
    </row>
    <row r="3779" spans="2:7" x14ac:dyDescent="0.2">
      <c r="B3779" s="236"/>
      <c r="C3779" s="185"/>
      <c r="D3779" s="181"/>
      <c r="E3779" s="186"/>
      <c r="F3779" s="222"/>
      <c r="G3779" s="237"/>
    </row>
    <row r="3780" spans="2:7" x14ac:dyDescent="0.2">
      <c r="B3780" s="157"/>
      <c r="C3780" s="158"/>
      <c r="D3780" s="156"/>
      <c r="E3780" s="156"/>
      <c r="F3780" s="159" t="s">
        <v>446</v>
      </c>
      <c r="G3780" s="183" t="s">
        <v>465</v>
      </c>
    </row>
    <row r="3781" spans="2:7" x14ac:dyDescent="0.2">
      <c r="B3781" s="379" t="s">
        <v>447</v>
      </c>
      <c r="C3781" s="158" t="s">
        <v>588</v>
      </c>
      <c r="D3781" s="158" t="s">
        <v>589</v>
      </c>
      <c r="E3781" s="158" t="s">
        <v>590</v>
      </c>
      <c r="F3781" s="380" t="s">
        <v>591</v>
      </c>
      <c r="G3781" s="381" t="s">
        <v>592</v>
      </c>
    </row>
    <row r="3782" spans="2:7" x14ac:dyDescent="0.2">
      <c r="B3782" s="471" t="s">
        <v>637</v>
      </c>
      <c r="C3782" s="462">
        <v>94469</v>
      </c>
      <c r="D3782" s="181">
        <v>1.47</v>
      </c>
      <c r="E3782" s="396">
        <v>138869</v>
      </c>
      <c r="F3782" s="397">
        <v>8.7999999999999995E-2</v>
      </c>
      <c r="G3782" s="463">
        <v>12151.04</v>
      </c>
    </row>
    <row r="3783" spans="2:7" x14ac:dyDescent="0.2">
      <c r="B3783" s="180"/>
      <c r="C3783" s="185"/>
      <c r="D3783" s="181"/>
      <c r="E3783" s="186"/>
      <c r="F3783" s="222"/>
      <c r="G3783" s="237"/>
    </row>
    <row r="3784" spans="2:7" x14ac:dyDescent="0.2">
      <c r="B3784" s="157"/>
      <c r="C3784" s="158"/>
      <c r="D3784" s="156"/>
      <c r="E3784" s="156"/>
      <c r="F3784" s="159" t="s">
        <v>449</v>
      </c>
      <c r="G3784" s="183">
        <v>12151.04</v>
      </c>
    </row>
    <row r="3785" spans="2:7" x14ac:dyDescent="0.2">
      <c r="B3785" s="161" t="s">
        <v>450</v>
      </c>
      <c r="C3785" s="158"/>
      <c r="D3785" s="156"/>
      <c r="E3785" s="156"/>
      <c r="F3785" s="159"/>
      <c r="G3785" s="160"/>
    </row>
    <row r="3786" spans="2:7" x14ac:dyDescent="0.2">
      <c r="B3786" s="218" t="s">
        <v>640</v>
      </c>
      <c r="C3786" s="219" t="s">
        <v>114</v>
      </c>
      <c r="D3786" s="229">
        <v>0.5</v>
      </c>
      <c r="E3786" s="229">
        <v>5</v>
      </c>
      <c r="F3786" s="470">
        <v>179673.34</v>
      </c>
      <c r="G3786" s="221">
        <v>94328.5</v>
      </c>
    </row>
    <row r="3787" spans="2:7" x14ac:dyDescent="0.2">
      <c r="B3787" s="180"/>
      <c r="C3787" s="185"/>
      <c r="D3787" s="181"/>
      <c r="E3787" s="186"/>
      <c r="F3787" s="222"/>
      <c r="G3787" s="230"/>
    </row>
    <row r="3788" spans="2:7" x14ac:dyDescent="0.2">
      <c r="B3788" s="157"/>
      <c r="C3788" s="158"/>
      <c r="D3788" s="156"/>
      <c r="E3788" s="156"/>
      <c r="F3788" s="159" t="s">
        <v>452</v>
      </c>
      <c r="G3788" s="183">
        <v>94328.5</v>
      </c>
    </row>
    <row r="3789" spans="2:7" x14ac:dyDescent="0.2">
      <c r="B3789" s="161" t="s">
        <v>453</v>
      </c>
      <c r="C3789" s="158"/>
      <c r="D3789" s="156"/>
      <c r="E3789" s="156"/>
      <c r="F3789" s="159"/>
      <c r="G3789" s="160"/>
    </row>
    <row r="3790" spans="2:7" x14ac:dyDescent="0.2">
      <c r="B3790" s="218" t="s">
        <v>639</v>
      </c>
      <c r="C3790" s="219" t="s">
        <v>286</v>
      </c>
      <c r="D3790" s="229">
        <v>2.7777779999999998E-3</v>
      </c>
      <c r="E3790" s="229"/>
      <c r="F3790" s="470">
        <v>448392</v>
      </c>
      <c r="G3790" s="221">
        <v>1245.53</v>
      </c>
    </row>
    <row r="3791" spans="2:7" x14ac:dyDescent="0.2">
      <c r="B3791" s="180"/>
      <c r="C3791" s="185"/>
      <c r="D3791" s="181"/>
      <c r="E3791" s="186"/>
      <c r="F3791" s="222"/>
      <c r="G3791" s="230"/>
    </row>
    <row r="3792" spans="2:7" x14ac:dyDescent="0.2">
      <c r="B3792" s="157"/>
      <c r="C3792" s="158"/>
      <c r="D3792" s="156"/>
      <c r="E3792" s="156"/>
      <c r="F3792" s="159" t="s">
        <v>459</v>
      </c>
      <c r="G3792" s="183">
        <v>1245.53</v>
      </c>
    </row>
    <row r="3793" spans="2:7" x14ac:dyDescent="0.2">
      <c r="B3793" s="157"/>
      <c r="C3793" s="158"/>
      <c r="D3793" s="156"/>
      <c r="E3793" s="156"/>
      <c r="F3793" s="159"/>
      <c r="G3793" s="160"/>
    </row>
    <row r="3794" spans="2:7" ht="17" thickBot="1" x14ac:dyDescent="0.25">
      <c r="B3794" s="206"/>
      <c r="C3794" s="207"/>
      <c r="D3794" s="208"/>
      <c r="E3794" s="209" t="s">
        <v>460</v>
      </c>
      <c r="F3794" s="210" t="s">
        <v>461</v>
      </c>
      <c r="G3794" s="211">
        <v>107725</v>
      </c>
    </row>
    <row r="3795" spans="2:7" ht="17" thickTop="1" x14ac:dyDescent="0.2">
      <c r="B3795" s="212"/>
      <c r="C3795" s="213"/>
      <c r="D3795" s="212"/>
      <c r="E3795" s="212"/>
      <c r="F3795" s="212"/>
      <c r="G3795" s="212"/>
    </row>
    <row r="3796" spans="2:7" x14ac:dyDescent="0.2">
      <c r="B3796" s="212"/>
      <c r="C3796" s="213"/>
      <c r="D3796" s="212"/>
      <c r="E3796" s="212"/>
      <c r="F3796" s="212"/>
      <c r="G3796" s="212"/>
    </row>
    <row r="3797" spans="2:7" ht="17" thickBot="1" x14ac:dyDescent="0.25">
      <c r="B3797" s="212"/>
      <c r="C3797" s="213"/>
      <c r="D3797" s="212"/>
      <c r="E3797" s="212"/>
      <c r="F3797" s="212"/>
      <c r="G3797" s="212"/>
    </row>
    <row r="3798" spans="2:7" ht="17" thickTop="1" x14ac:dyDescent="0.2">
      <c r="B3798" s="537" t="s">
        <v>151</v>
      </c>
      <c r="C3798" s="538"/>
      <c r="D3798" s="538"/>
      <c r="E3798" s="538"/>
      <c r="F3798" s="148"/>
      <c r="G3798" s="149" t="s">
        <v>636</v>
      </c>
    </row>
    <row r="3799" spans="2:7" x14ac:dyDescent="0.2">
      <c r="B3799" s="539"/>
      <c r="C3799" s="540"/>
      <c r="D3799" s="540"/>
      <c r="E3799" s="540"/>
      <c r="F3799" s="150"/>
      <c r="G3799" s="151" t="s">
        <v>477</v>
      </c>
    </row>
    <row r="3800" spans="2:7" x14ac:dyDescent="0.2">
      <c r="B3800" s="152" t="s">
        <v>1</v>
      </c>
      <c r="C3800" s="153" t="s">
        <v>2</v>
      </c>
      <c r="D3800" s="153" t="s">
        <v>3</v>
      </c>
      <c r="E3800" s="153" t="s">
        <v>441</v>
      </c>
      <c r="F3800" s="154" t="s">
        <v>442</v>
      </c>
      <c r="G3800" s="155" t="s">
        <v>443</v>
      </c>
    </row>
    <row r="3801" spans="2:7" x14ac:dyDescent="0.2">
      <c r="B3801" s="157"/>
      <c r="C3801" s="158"/>
      <c r="D3801" s="156"/>
      <c r="E3801" s="156"/>
      <c r="F3801" s="159"/>
      <c r="G3801" s="160"/>
    </row>
    <row r="3802" spans="2:7" x14ac:dyDescent="0.2">
      <c r="B3802" s="161" t="s">
        <v>444</v>
      </c>
      <c r="C3802" s="158"/>
      <c r="D3802" s="156"/>
      <c r="E3802" s="156"/>
      <c r="F3802" s="159"/>
      <c r="G3802" s="160"/>
    </row>
    <row r="3803" spans="2:7" x14ac:dyDescent="0.2">
      <c r="B3803" s="236"/>
      <c r="C3803" s="185"/>
      <c r="D3803" s="181"/>
      <c r="E3803" s="186"/>
      <c r="F3803" s="222"/>
      <c r="G3803" s="237"/>
    </row>
    <row r="3804" spans="2:7" x14ac:dyDescent="0.2">
      <c r="B3804" s="157"/>
      <c r="C3804" s="158"/>
      <c r="D3804" s="156"/>
      <c r="E3804" s="156"/>
      <c r="F3804" s="159" t="s">
        <v>446</v>
      </c>
      <c r="G3804" s="183" t="s">
        <v>465</v>
      </c>
    </row>
    <row r="3805" spans="2:7" x14ac:dyDescent="0.2">
      <c r="B3805" s="379" t="s">
        <v>447</v>
      </c>
      <c r="C3805" s="158" t="s">
        <v>588</v>
      </c>
      <c r="D3805" s="158" t="s">
        <v>589</v>
      </c>
      <c r="E3805" s="158" t="s">
        <v>590</v>
      </c>
      <c r="F3805" s="380" t="s">
        <v>591</v>
      </c>
      <c r="G3805" s="381" t="s">
        <v>592</v>
      </c>
    </row>
    <row r="3806" spans="2:7" x14ac:dyDescent="0.2">
      <c r="B3806" s="471" t="s">
        <v>637</v>
      </c>
      <c r="C3806" s="462">
        <v>94469</v>
      </c>
      <c r="D3806" s="181">
        <v>1.47</v>
      </c>
      <c r="E3806" s="396">
        <v>138869</v>
      </c>
      <c r="F3806" s="397">
        <v>0.1</v>
      </c>
      <c r="G3806" s="463">
        <v>13886.9</v>
      </c>
    </row>
    <row r="3807" spans="2:7" x14ac:dyDescent="0.2">
      <c r="B3807" s="180"/>
      <c r="C3807" s="185"/>
      <c r="D3807" s="181"/>
      <c r="E3807" s="186"/>
      <c r="F3807" s="222"/>
      <c r="G3807" s="237"/>
    </row>
    <row r="3808" spans="2:7" x14ac:dyDescent="0.2">
      <c r="B3808" s="157"/>
      <c r="C3808" s="158"/>
      <c r="D3808" s="156"/>
      <c r="E3808" s="156"/>
      <c r="F3808" s="159" t="s">
        <v>449</v>
      </c>
      <c r="G3808" s="183">
        <v>13886.9</v>
      </c>
    </row>
    <row r="3809" spans="2:7" x14ac:dyDescent="0.2">
      <c r="B3809" s="161" t="s">
        <v>450</v>
      </c>
      <c r="C3809" s="158"/>
      <c r="D3809" s="156"/>
      <c r="E3809" s="156"/>
      <c r="F3809" s="159"/>
      <c r="G3809" s="160"/>
    </row>
    <row r="3810" spans="2:7" x14ac:dyDescent="0.2">
      <c r="B3810" s="218" t="s">
        <v>640</v>
      </c>
      <c r="C3810" s="219" t="s">
        <v>114</v>
      </c>
      <c r="D3810" s="229">
        <v>0.66666666699999999</v>
      </c>
      <c r="E3810" s="229">
        <v>5</v>
      </c>
      <c r="F3810" s="470">
        <v>179673.34</v>
      </c>
      <c r="G3810" s="221">
        <v>125771.33</v>
      </c>
    </row>
    <row r="3811" spans="2:7" x14ac:dyDescent="0.2">
      <c r="B3811" s="180"/>
      <c r="C3811" s="185"/>
      <c r="D3811" s="181"/>
      <c r="E3811" s="186"/>
      <c r="F3811" s="222"/>
      <c r="G3811" s="230"/>
    </row>
    <row r="3812" spans="2:7" x14ac:dyDescent="0.2">
      <c r="B3812" s="157"/>
      <c r="C3812" s="158"/>
      <c r="D3812" s="156"/>
      <c r="E3812" s="156"/>
      <c r="F3812" s="159" t="s">
        <v>452</v>
      </c>
      <c r="G3812" s="183">
        <v>125771.33</v>
      </c>
    </row>
    <row r="3813" spans="2:7" x14ac:dyDescent="0.2">
      <c r="B3813" s="161" t="s">
        <v>453</v>
      </c>
      <c r="C3813" s="158"/>
      <c r="D3813" s="156"/>
      <c r="E3813" s="156"/>
      <c r="F3813" s="159"/>
      <c r="G3813" s="160"/>
    </row>
    <row r="3814" spans="2:7" x14ac:dyDescent="0.2">
      <c r="B3814" s="218" t="s">
        <v>639</v>
      </c>
      <c r="C3814" s="219" t="s">
        <v>286</v>
      </c>
      <c r="D3814" s="229">
        <v>2.7777779999999998E-3</v>
      </c>
      <c r="E3814" s="229"/>
      <c r="F3814" s="470">
        <v>448392</v>
      </c>
      <c r="G3814" s="221">
        <v>1245.53</v>
      </c>
    </row>
    <row r="3815" spans="2:7" x14ac:dyDescent="0.2">
      <c r="B3815" s="180"/>
      <c r="C3815" s="185"/>
      <c r="D3815" s="181"/>
      <c r="E3815" s="186"/>
      <c r="F3815" s="222"/>
      <c r="G3815" s="230"/>
    </row>
    <row r="3816" spans="2:7" x14ac:dyDescent="0.2">
      <c r="B3816" s="157"/>
      <c r="C3816" s="158"/>
      <c r="D3816" s="156"/>
      <c r="E3816" s="156"/>
      <c r="F3816" s="159" t="s">
        <v>459</v>
      </c>
      <c r="G3816" s="183">
        <v>1245.53</v>
      </c>
    </row>
    <row r="3817" spans="2:7" x14ac:dyDescent="0.2">
      <c r="B3817" s="157"/>
      <c r="C3817" s="158"/>
      <c r="D3817" s="156"/>
      <c r="E3817" s="156"/>
      <c r="F3817" s="159"/>
      <c r="G3817" s="160"/>
    </row>
    <row r="3818" spans="2:7" ht="17" thickBot="1" x14ac:dyDescent="0.25">
      <c r="B3818" s="206"/>
      <c r="C3818" s="207"/>
      <c r="D3818" s="208"/>
      <c r="E3818" s="209" t="s">
        <v>460</v>
      </c>
      <c r="F3818" s="210" t="s">
        <v>461</v>
      </c>
      <c r="G3818" s="211">
        <v>140904</v>
      </c>
    </row>
    <row r="3819" spans="2:7" ht="17" thickTop="1" x14ac:dyDescent="0.2">
      <c r="B3819" s="212"/>
      <c r="C3819" s="213"/>
      <c r="D3819" s="212"/>
      <c r="E3819" s="212"/>
      <c r="F3819" s="212"/>
      <c r="G3819" s="212"/>
    </row>
    <row r="3820" spans="2:7" x14ac:dyDescent="0.2">
      <c r="B3820" s="212"/>
      <c r="C3820" s="213"/>
      <c r="D3820" s="212"/>
      <c r="E3820" s="212"/>
      <c r="F3820" s="212"/>
      <c r="G3820" s="212"/>
    </row>
    <row r="3821" spans="2:7" ht="17" thickBot="1" x14ac:dyDescent="0.25">
      <c r="B3821" s="212"/>
      <c r="C3821" s="213"/>
      <c r="D3821" s="212"/>
      <c r="E3821" s="212"/>
      <c r="F3821" s="212"/>
      <c r="G3821" s="212"/>
    </row>
    <row r="3822" spans="2:7" ht="17" thickTop="1" x14ac:dyDescent="0.2">
      <c r="B3822" s="537" t="s">
        <v>152</v>
      </c>
      <c r="C3822" s="538"/>
      <c r="D3822" s="538"/>
      <c r="E3822" s="538"/>
      <c r="F3822" s="148"/>
      <c r="G3822" s="149" t="s">
        <v>636</v>
      </c>
    </row>
    <row r="3823" spans="2:7" x14ac:dyDescent="0.2">
      <c r="B3823" s="539"/>
      <c r="C3823" s="540"/>
      <c r="D3823" s="540"/>
      <c r="E3823" s="540"/>
      <c r="F3823" s="150"/>
      <c r="G3823" s="151" t="s">
        <v>477</v>
      </c>
    </row>
    <row r="3824" spans="2:7" x14ac:dyDescent="0.2">
      <c r="B3824" s="152" t="s">
        <v>1</v>
      </c>
      <c r="C3824" s="153" t="s">
        <v>2</v>
      </c>
      <c r="D3824" s="153" t="s">
        <v>3</v>
      </c>
      <c r="E3824" s="153" t="s">
        <v>441</v>
      </c>
      <c r="F3824" s="154" t="s">
        <v>442</v>
      </c>
      <c r="G3824" s="155" t="s">
        <v>443</v>
      </c>
    </row>
    <row r="3825" spans="2:7" x14ac:dyDescent="0.2">
      <c r="B3825" s="157"/>
      <c r="C3825" s="158"/>
      <c r="D3825" s="156"/>
      <c r="E3825" s="156"/>
      <c r="F3825" s="159"/>
      <c r="G3825" s="160"/>
    </row>
    <row r="3826" spans="2:7" x14ac:dyDescent="0.2">
      <c r="B3826" s="161" t="s">
        <v>444</v>
      </c>
      <c r="C3826" s="158"/>
      <c r="D3826" s="156"/>
      <c r="E3826" s="156"/>
      <c r="F3826" s="159"/>
      <c r="G3826" s="160"/>
    </row>
    <row r="3827" spans="2:7" x14ac:dyDescent="0.2">
      <c r="B3827" s="236"/>
      <c r="C3827" s="185"/>
      <c r="D3827" s="181"/>
      <c r="E3827" s="186"/>
      <c r="F3827" s="222"/>
      <c r="G3827" s="237"/>
    </row>
    <row r="3828" spans="2:7" x14ac:dyDescent="0.2">
      <c r="B3828" s="157"/>
      <c r="C3828" s="158"/>
      <c r="D3828" s="156"/>
      <c r="E3828" s="156"/>
      <c r="F3828" s="159" t="s">
        <v>446</v>
      </c>
      <c r="G3828" s="183" t="s">
        <v>465</v>
      </c>
    </row>
    <row r="3829" spans="2:7" x14ac:dyDescent="0.2">
      <c r="B3829" s="379" t="s">
        <v>447</v>
      </c>
      <c r="C3829" s="158" t="s">
        <v>588</v>
      </c>
      <c r="D3829" s="158" t="s">
        <v>589</v>
      </c>
      <c r="E3829" s="158" t="s">
        <v>590</v>
      </c>
      <c r="F3829" s="380" t="s">
        <v>591</v>
      </c>
      <c r="G3829" s="381" t="s">
        <v>592</v>
      </c>
    </row>
    <row r="3830" spans="2:7" x14ac:dyDescent="0.2">
      <c r="B3830" s="471" t="s">
        <v>637</v>
      </c>
      <c r="C3830" s="462">
        <v>94469</v>
      </c>
      <c r="D3830" s="181">
        <v>1.47</v>
      </c>
      <c r="E3830" s="396">
        <v>138869</v>
      </c>
      <c r="F3830" s="397">
        <v>0.113</v>
      </c>
      <c r="G3830" s="463">
        <v>15622.76</v>
      </c>
    </row>
    <row r="3831" spans="2:7" x14ac:dyDescent="0.2">
      <c r="B3831" s="180"/>
      <c r="C3831" s="185"/>
      <c r="D3831" s="181"/>
      <c r="E3831" s="186"/>
      <c r="F3831" s="222"/>
      <c r="G3831" s="237"/>
    </row>
    <row r="3832" spans="2:7" x14ac:dyDescent="0.2">
      <c r="B3832" s="157"/>
      <c r="C3832" s="158"/>
      <c r="D3832" s="156"/>
      <c r="E3832" s="156"/>
      <c r="F3832" s="159" t="s">
        <v>449</v>
      </c>
      <c r="G3832" s="183">
        <v>15622.76</v>
      </c>
    </row>
    <row r="3833" spans="2:7" x14ac:dyDescent="0.2">
      <c r="B3833" s="161" t="s">
        <v>450</v>
      </c>
      <c r="C3833" s="158"/>
      <c r="D3833" s="156"/>
      <c r="E3833" s="156"/>
      <c r="F3833" s="159"/>
      <c r="G3833" s="160"/>
    </row>
    <row r="3834" spans="2:7" x14ac:dyDescent="0.2">
      <c r="B3834" s="218" t="s">
        <v>640</v>
      </c>
      <c r="C3834" s="219" t="s">
        <v>114</v>
      </c>
      <c r="D3834" s="229">
        <v>0.83333333300000001</v>
      </c>
      <c r="E3834" s="229">
        <v>5</v>
      </c>
      <c r="F3834" s="470">
        <v>179673.34</v>
      </c>
      <c r="G3834" s="221">
        <v>157214.17000000001</v>
      </c>
    </row>
    <row r="3835" spans="2:7" x14ac:dyDescent="0.2">
      <c r="B3835" s="180"/>
      <c r="C3835" s="185"/>
      <c r="D3835" s="181"/>
      <c r="E3835" s="186"/>
      <c r="F3835" s="222"/>
      <c r="G3835" s="230"/>
    </row>
    <row r="3836" spans="2:7" x14ac:dyDescent="0.2">
      <c r="B3836" s="157"/>
      <c r="C3836" s="158"/>
      <c r="D3836" s="156"/>
      <c r="E3836" s="156"/>
      <c r="F3836" s="159" t="s">
        <v>452</v>
      </c>
      <c r="G3836" s="183">
        <v>157214.17000000001</v>
      </c>
    </row>
    <row r="3837" spans="2:7" x14ac:dyDescent="0.2">
      <c r="B3837" s="161" t="s">
        <v>453</v>
      </c>
      <c r="C3837" s="158"/>
      <c r="D3837" s="156"/>
      <c r="E3837" s="156"/>
      <c r="F3837" s="159"/>
      <c r="G3837" s="160"/>
    </row>
    <row r="3838" spans="2:7" x14ac:dyDescent="0.2">
      <c r="B3838" s="218" t="s">
        <v>639</v>
      </c>
      <c r="C3838" s="219" t="s">
        <v>286</v>
      </c>
      <c r="D3838" s="229">
        <v>2.7777779999999998E-3</v>
      </c>
      <c r="E3838" s="229"/>
      <c r="F3838" s="470">
        <v>448392</v>
      </c>
      <c r="G3838" s="221">
        <v>1245.53</v>
      </c>
    </row>
    <row r="3839" spans="2:7" x14ac:dyDescent="0.2">
      <c r="B3839" s="180"/>
      <c r="C3839" s="185"/>
      <c r="D3839" s="181"/>
      <c r="E3839" s="186"/>
      <c r="F3839" s="222"/>
      <c r="G3839" s="230"/>
    </row>
    <row r="3840" spans="2:7" x14ac:dyDescent="0.2">
      <c r="B3840" s="157"/>
      <c r="C3840" s="158"/>
      <c r="D3840" s="156"/>
      <c r="E3840" s="156"/>
      <c r="F3840" s="159" t="s">
        <v>459</v>
      </c>
      <c r="G3840" s="183">
        <v>1245.53</v>
      </c>
    </row>
    <row r="3841" spans="2:7" x14ac:dyDescent="0.2">
      <c r="B3841" s="157"/>
      <c r="C3841" s="158"/>
      <c r="D3841" s="156"/>
      <c r="E3841" s="156"/>
      <c r="F3841" s="159"/>
      <c r="G3841" s="160"/>
    </row>
    <row r="3842" spans="2:7" ht="17" thickBot="1" x14ac:dyDescent="0.25">
      <c r="B3842" s="206"/>
      <c r="C3842" s="207"/>
      <c r="D3842" s="208"/>
      <c r="E3842" s="209" t="s">
        <v>460</v>
      </c>
      <c r="F3842" s="210" t="s">
        <v>461</v>
      </c>
      <c r="G3842" s="211">
        <v>174082</v>
      </c>
    </row>
    <row r="3843" spans="2:7" ht="17" thickTop="1" x14ac:dyDescent="0.2">
      <c r="B3843" s="212"/>
      <c r="C3843" s="213"/>
      <c r="D3843" s="212"/>
      <c r="E3843" s="212"/>
      <c r="F3843" s="212"/>
      <c r="G3843" s="212"/>
    </row>
    <row r="3844" spans="2:7" x14ac:dyDescent="0.2">
      <c r="B3844" s="212"/>
      <c r="C3844" s="213"/>
      <c r="D3844" s="212"/>
      <c r="E3844" s="212"/>
      <c r="F3844" s="212"/>
      <c r="G3844" s="212"/>
    </row>
    <row r="3845" spans="2:7" ht="17" thickBot="1" x14ac:dyDescent="0.25">
      <c r="B3845" s="212"/>
      <c r="C3845" s="213"/>
      <c r="D3845" s="212"/>
      <c r="E3845" s="212"/>
      <c r="F3845" s="212"/>
      <c r="G3845" s="212"/>
    </row>
    <row r="3846" spans="2:7" ht="17" thickTop="1" x14ac:dyDescent="0.2">
      <c r="B3846" s="537" t="s">
        <v>153</v>
      </c>
      <c r="C3846" s="538"/>
      <c r="D3846" s="538"/>
      <c r="E3846" s="538"/>
      <c r="F3846" s="148"/>
      <c r="G3846" s="149" t="s">
        <v>636</v>
      </c>
    </row>
    <row r="3847" spans="2:7" x14ac:dyDescent="0.2">
      <c r="B3847" s="539"/>
      <c r="C3847" s="540"/>
      <c r="D3847" s="540"/>
      <c r="E3847" s="540"/>
      <c r="F3847" s="150"/>
      <c r="G3847" s="151" t="s">
        <v>477</v>
      </c>
    </row>
    <row r="3848" spans="2:7" x14ac:dyDescent="0.2">
      <c r="B3848" s="152" t="s">
        <v>1</v>
      </c>
      <c r="C3848" s="153" t="s">
        <v>2</v>
      </c>
      <c r="D3848" s="153" t="s">
        <v>3</v>
      </c>
      <c r="E3848" s="153" t="s">
        <v>441</v>
      </c>
      <c r="F3848" s="154" t="s">
        <v>442</v>
      </c>
      <c r="G3848" s="155" t="s">
        <v>443</v>
      </c>
    </row>
    <row r="3849" spans="2:7" x14ac:dyDescent="0.2">
      <c r="B3849" s="157"/>
      <c r="C3849" s="158"/>
      <c r="D3849" s="156"/>
      <c r="E3849" s="156"/>
      <c r="F3849" s="159"/>
      <c r="G3849" s="160"/>
    </row>
    <row r="3850" spans="2:7" x14ac:dyDescent="0.2">
      <c r="B3850" s="161" t="s">
        <v>444</v>
      </c>
      <c r="C3850" s="158"/>
      <c r="D3850" s="156"/>
      <c r="E3850" s="156"/>
      <c r="F3850" s="159"/>
      <c r="G3850" s="160"/>
    </row>
    <row r="3851" spans="2:7" x14ac:dyDescent="0.2">
      <c r="B3851" s="236"/>
      <c r="C3851" s="185"/>
      <c r="D3851" s="181"/>
      <c r="E3851" s="186"/>
      <c r="F3851" s="222"/>
      <c r="G3851" s="237"/>
    </row>
    <row r="3852" spans="2:7" x14ac:dyDescent="0.2">
      <c r="B3852" s="157"/>
      <c r="C3852" s="158"/>
      <c r="D3852" s="156"/>
      <c r="E3852" s="156"/>
      <c r="F3852" s="159" t="s">
        <v>446</v>
      </c>
      <c r="G3852" s="183" t="s">
        <v>465</v>
      </c>
    </row>
    <row r="3853" spans="2:7" x14ac:dyDescent="0.2">
      <c r="B3853" s="379" t="s">
        <v>447</v>
      </c>
      <c r="C3853" s="158" t="s">
        <v>588</v>
      </c>
      <c r="D3853" s="158" t="s">
        <v>589</v>
      </c>
      <c r="E3853" s="158" t="s">
        <v>590</v>
      </c>
      <c r="F3853" s="380" t="s">
        <v>591</v>
      </c>
      <c r="G3853" s="381" t="s">
        <v>592</v>
      </c>
    </row>
    <row r="3854" spans="2:7" x14ac:dyDescent="0.2">
      <c r="B3854" s="471" t="s">
        <v>637</v>
      </c>
      <c r="C3854" s="462">
        <v>94469</v>
      </c>
      <c r="D3854" s="181">
        <v>1.47</v>
      </c>
      <c r="E3854" s="396">
        <v>138869</v>
      </c>
      <c r="F3854" s="397">
        <v>0.125</v>
      </c>
      <c r="G3854" s="463">
        <v>17358.63</v>
      </c>
    </row>
    <row r="3855" spans="2:7" x14ac:dyDescent="0.2">
      <c r="B3855" s="180"/>
      <c r="C3855" s="185"/>
      <c r="D3855" s="181"/>
      <c r="E3855" s="186"/>
      <c r="F3855" s="222"/>
      <c r="G3855" s="237"/>
    </row>
    <row r="3856" spans="2:7" x14ac:dyDescent="0.2">
      <c r="B3856" s="157"/>
      <c r="C3856" s="158"/>
      <c r="D3856" s="156"/>
      <c r="E3856" s="156"/>
      <c r="F3856" s="159" t="s">
        <v>449</v>
      </c>
      <c r="G3856" s="183">
        <v>17358.63</v>
      </c>
    </row>
    <row r="3857" spans="2:7" x14ac:dyDescent="0.2">
      <c r="B3857" s="161" t="s">
        <v>450</v>
      </c>
      <c r="C3857" s="158"/>
      <c r="D3857" s="156"/>
      <c r="E3857" s="156"/>
      <c r="F3857" s="159"/>
      <c r="G3857" s="160"/>
    </row>
    <row r="3858" spans="2:7" x14ac:dyDescent="0.2">
      <c r="B3858" s="218" t="s">
        <v>640</v>
      </c>
      <c r="C3858" s="219" t="s">
        <v>114</v>
      </c>
      <c r="D3858" s="229">
        <v>1</v>
      </c>
      <c r="E3858" s="229">
        <v>5</v>
      </c>
      <c r="F3858" s="470">
        <v>179673.34</v>
      </c>
      <c r="G3858" s="221">
        <v>188657</v>
      </c>
    </row>
    <row r="3859" spans="2:7" x14ac:dyDescent="0.2">
      <c r="B3859" s="180"/>
      <c r="C3859" s="185"/>
      <c r="D3859" s="181"/>
      <c r="E3859" s="186"/>
      <c r="F3859" s="222"/>
      <c r="G3859" s="230"/>
    </row>
    <row r="3860" spans="2:7" x14ac:dyDescent="0.2">
      <c r="B3860" s="157"/>
      <c r="C3860" s="158"/>
      <c r="D3860" s="156"/>
      <c r="E3860" s="156"/>
      <c r="F3860" s="159" t="s">
        <v>452</v>
      </c>
      <c r="G3860" s="183">
        <v>188657</v>
      </c>
    </row>
    <row r="3861" spans="2:7" x14ac:dyDescent="0.2">
      <c r="B3861" s="161" t="s">
        <v>453</v>
      </c>
      <c r="C3861" s="158"/>
      <c r="D3861" s="156"/>
      <c r="E3861" s="156"/>
      <c r="F3861" s="159"/>
      <c r="G3861" s="160"/>
    </row>
    <row r="3862" spans="2:7" x14ac:dyDescent="0.2">
      <c r="B3862" s="218" t="s">
        <v>639</v>
      </c>
      <c r="C3862" s="219" t="s">
        <v>286</v>
      </c>
      <c r="D3862" s="229">
        <v>2.7777779999999998E-3</v>
      </c>
      <c r="E3862" s="229"/>
      <c r="F3862" s="470">
        <v>448392</v>
      </c>
      <c r="G3862" s="221">
        <v>1245.53</v>
      </c>
    </row>
    <row r="3863" spans="2:7" x14ac:dyDescent="0.2">
      <c r="B3863" s="180"/>
      <c r="C3863" s="185"/>
      <c r="D3863" s="181"/>
      <c r="E3863" s="186"/>
      <c r="F3863" s="222"/>
      <c r="G3863" s="230"/>
    </row>
    <row r="3864" spans="2:7" x14ac:dyDescent="0.2">
      <c r="B3864" s="157"/>
      <c r="C3864" s="158"/>
      <c r="D3864" s="156"/>
      <c r="E3864" s="156"/>
      <c r="F3864" s="159" t="s">
        <v>459</v>
      </c>
      <c r="G3864" s="183">
        <v>1245.53</v>
      </c>
    </row>
    <row r="3865" spans="2:7" x14ac:dyDescent="0.2">
      <c r="B3865" s="157"/>
      <c r="C3865" s="158"/>
      <c r="D3865" s="156"/>
      <c r="E3865" s="156"/>
      <c r="F3865" s="159"/>
      <c r="G3865" s="160"/>
    </row>
    <row r="3866" spans="2:7" ht="17" thickBot="1" x14ac:dyDescent="0.25">
      <c r="B3866" s="206"/>
      <c r="C3866" s="207"/>
      <c r="D3866" s="208"/>
      <c r="E3866" s="209" t="s">
        <v>460</v>
      </c>
      <c r="F3866" s="210" t="s">
        <v>461</v>
      </c>
      <c r="G3866" s="211">
        <v>207261</v>
      </c>
    </row>
    <row r="3867" spans="2:7" ht="17" thickTop="1" x14ac:dyDescent="0.2">
      <c r="B3867" s="212"/>
      <c r="C3867" s="213"/>
      <c r="D3867" s="212"/>
      <c r="E3867" s="212"/>
      <c r="F3867" s="212"/>
      <c r="G3867" s="212"/>
    </row>
    <row r="3868" spans="2:7" x14ac:dyDescent="0.2">
      <c r="B3868" s="212"/>
      <c r="C3868" s="213"/>
      <c r="D3868" s="212"/>
      <c r="E3868" s="212"/>
      <c r="F3868" s="212"/>
      <c r="G3868" s="212"/>
    </row>
    <row r="3869" spans="2:7" ht="17" thickBot="1" x14ac:dyDescent="0.25">
      <c r="B3869" s="212"/>
      <c r="C3869" s="213"/>
      <c r="D3869" s="212"/>
      <c r="E3869" s="212"/>
      <c r="F3869" s="212"/>
      <c r="G3869" s="212"/>
    </row>
    <row r="3870" spans="2:7" ht="17" thickTop="1" x14ac:dyDescent="0.2">
      <c r="B3870" s="537" t="s">
        <v>174</v>
      </c>
      <c r="C3870" s="538"/>
      <c r="D3870" s="538"/>
      <c r="E3870" s="538"/>
      <c r="F3870" s="148"/>
      <c r="G3870" s="149" t="s">
        <v>608</v>
      </c>
    </row>
    <row r="3871" spans="2:7" x14ac:dyDescent="0.2">
      <c r="B3871" s="539"/>
      <c r="C3871" s="540"/>
      <c r="D3871" s="540"/>
      <c r="E3871" s="540"/>
      <c r="F3871" s="150"/>
      <c r="G3871" s="151" t="s">
        <v>477</v>
      </c>
    </row>
    <row r="3872" spans="2:7" x14ac:dyDescent="0.2">
      <c r="B3872" s="152" t="s">
        <v>1</v>
      </c>
      <c r="C3872" s="153" t="s">
        <v>2</v>
      </c>
      <c r="D3872" s="153" t="s">
        <v>3</v>
      </c>
      <c r="E3872" s="153" t="s">
        <v>441</v>
      </c>
      <c r="F3872" s="154" t="s">
        <v>442</v>
      </c>
      <c r="G3872" s="155" t="s">
        <v>443</v>
      </c>
    </row>
    <row r="3873" spans="2:7" x14ac:dyDescent="0.2">
      <c r="B3873" s="157"/>
      <c r="C3873" s="158"/>
      <c r="D3873" s="156"/>
      <c r="E3873" s="156"/>
      <c r="F3873" s="159"/>
      <c r="G3873" s="160"/>
    </row>
    <row r="3874" spans="2:7" x14ac:dyDescent="0.2">
      <c r="B3874" s="161" t="s">
        <v>444</v>
      </c>
      <c r="C3874" s="158"/>
      <c r="D3874" s="156"/>
      <c r="E3874" s="156"/>
      <c r="F3874" s="159"/>
      <c r="G3874" s="160"/>
    </row>
    <row r="3875" spans="2:7" x14ac:dyDescent="0.2">
      <c r="B3875" s="236"/>
      <c r="C3875" s="185"/>
      <c r="D3875" s="181"/>
      <c r="E3875" s="186"/>
      <c r="F3875" s="222"/>
      <c r="G3875" s="237"/>
    </row>
    <row r="3876" spans="2:7" x14ac:dyDescent="0.2">
      <c r="B3876" s="157"/>
      <c r="C3876" s="158"/>
      <c r="D3876" s="156"/>
      <c r="E3876" s="156"/>
      <c r="F3876" s="159" t="s">
        <v>446</v>
      </c>
      <c r="G3876" s="183" t="s">
        <v>465</v>
      </c>
    </row>
    <row r="3877" spans="2:7" x14ac:dyDescent="0.2">
      <c r="B3877" s="379" t="s">
        <v>447</v>
      </c>
      <c r="C3877" s="158" t="s">
        <v>588</v>
      </c>
      <c r="D3877" s="158" t="s">
        <v>589</v>
      </c>
      <c r="E3877" s="158" t="s">
        <v>590</v>
      </c>
      <c r="F3877" s="380" t="s">
        <v>591</v>
      </c>
      <c r="G3877" s="381" t="s">
        <v>592</v>
      </c>
    </row>
    <row r="3878" spans="2:7" x14ac:dyDescent="0.2">
      <c r="B3878" s="471" t="s">
        <v>583</v>
      </c>
      <c r="C3878" s="486">
        <v>314474</v>
      </c>
      <c r="D3878" s="181">
        <v>1.47</v>
      </c>
      <c r="E3878" s="396">
        <v>462276</v>
      </c>
      <c r="F3878" s="487">
        <v>1.67E-3</v>
      </c>
      <c r="G3878" s="488">
        <v>770.46</v>
      </c>
    </row>
    <row r="3879" spans="2:7" x14ac:dyDescent="0.2">
      <c r="B3879" s="475" t="s">
        <v>524</v>
      </c>
      <c r="C3879" s="486">
        <v>107474</v>
      </c>
      <c r="D3879" s="415">
        <v>1.47</v>
      </c>
      <c r="E3879" s="464">
        <v>157986</v>
      </c>
      <c r="F3879" s="490">
        <v>1.67E-3</v>
      </c>
      <c r="G3879" s="502">
        <v>263.31</v>
      </c>
    </row>
    <row r="3880" spans="2:7" x14ac:dyDescent="0.2">
      <c r="B3880" s="475" t="s">
        <v>525</v>
      </c>
      <c r="C3880" s="486">
        <v>272540</v>
      </c>
      <c r="D3880" s="415">
        <v>1.47</v>
      </c>
      <c r="E3880" s="363">
        <v>400633</v>
      </c>
      <c r="F3880" s="491">
        <v>0</v>
      </c>
      <c r="G3880" s="502">
        <v>333.86</v>
      </c>
    </row>
    <row r="3881" spans="2:7" x14ac:dyDescent="0.2">
      <c r="B3881" s="180"/>
      <c r="C3881" s="185"/>
      <c r="D3881" s="181"/>
      <c r="E3881" s="170"/>
      <c r="F3881" s="222"/>
      <c r="G3881" s="230"/>
    </row>
    <row r="3882" spans="2:7" x14ac:dyDescent="0.2">
      <c r="B3882" s="157"/>
      <c r="C3882" s="158"/>
      <c r="D3882" s="156"/>
      <c r="E3882" s="156"/>
      <c r="F3882" s="159" t="s">
        <v>449</v>
      </c>
      <c r="G3882" s="183">
        <v>1367.63</v>
      </c>
    </row>
    <row r="3883" spans="2:7" x14ac:dyDescent="0.2">
      <c r="B3883" s="161" t="s">
        <v>450</v>
      </c>
      <c r="C3883" s="158"/>
      <c r="D3883" s="156"/>
      <c r="E3883" s="156"/>
      <c r="F3883" s="159"/>
      <c r="G3883" s="160"/>
    </row>
    <row r="3884" spans="2:7" x14ac:dyDescent="0.2">
      <c r="B3884" s="218" t="s">
        <v>551</v>
      </c>
      <c r="C3884" s="219" t="s">
        <v>2</v>
      </c>
      <c r="D3884" s="229"/>
      <c r="E3884" s="229"/>
      <c r="F3884" s="492">
        <v>1000</v>
      </c>
      <c r="G3884" s="221" t="s">
        <v>465</v>
      </c>
    </row>
    <row r="3885" spans="2:7" x14ac:dyDescent="0.2">
      <c r="B3885" s="152" t="s">
        <v>569</v>
      </c>
      <c r="C3885" s="219" t="s">
        <v>2</v>
      </c>
      <c r="D3885" s="229"/>
      <c r="E3885" s="229"/>
      <c r="F3885" s="492">
        <v>3700</v>
      </c>
      <c r="G3885" s="286" t="s">
        <v>465</v>
      </c>
    </row>
    <row r="3886" spans="2:7" x14ac:dyDescent="0.2">
      <c r="B3886" s="152" t="s">
        <v>552</v>
      </c>
      <c r="C3886" s="219" t="s">
        <v>2</v>
      </c>
      <c r="D3886" s="229"/>
      <c r="E3886" s="229"/>
      <c r="F3886" s="492">
        <v>1800</v>
      </c>
      <c r="G3886" s="286" t="s">
        <v>465</v>
      </c>
    </row>
    <row r="3887" spans="2:7" x14ac:dyDescent="0.2">
      <c r="B3887" s="180"/>
      <c r="C3887" s="185"/>
      <c r="D3887" s="181"/>
      <c r="E3887" s="186"/>
      <c r="F3887" s="222"/>
      <c r="G3887" s="230"/>
    </row>
    <row r="3888" spans="2:7" x14ac:dyDescent="0.2">
      <c r="B3888" s="157"/>
      <c r="C3888" s="158"/>
      <c r="D3888" s="156"/>
      <c r="E3888" s="156"/>
      <c r="F3888" s="159" t="s">
        <v>452</v>
      </c>
      <c r="G3888" s="183" t="s">
        <v>465</v>
      </c>
    </row>
    <row r="3889" spans="2:7" x14ac:dyDescent="0.2">
      <c r="B3889" s="161" t="s">
        <v>453</v>
      </c>
      <c r="C3889" s="158"/>
      <c r="D3889" s="156"/>
      <c r="E3889" s="156"/>
      <c r="F3889" s="159"/>
      <c r="G3889" s="160"/>
    </row>
    <row r="3890" spans="2:7" x14ac:dyDescent="0.2">
      <c r="B3890" s="218" t="s">
        <v>626</v>
      </c>
      <c r="C3890" s="219" t="s">
        <v>286</v>
      </c>
      <c r="D3890" s="229"/>
      <c r="E3890" s="229"/>
      <c r="F3890" s="470">
        <v>112200</v>
      </c>
      <c r="G3890" s="221" t="s">
        <v>465</v>
      </c>
    </row>
    <row r="3891" spans="2:7" x14ac:dyDescent="0.2">
      <c r="B3891" s="152" t="s">
        <v>642</v>
      </c>
      <c r="C3891" s="219" t="s">
        <v>286</v>
      </c>
      <c r="D3891" s="229"/>
      <c r="E3891" s="229"/>
      <c r="F3891" s="470">
        <v>17360</v>
      </c>
      <c r="G3891" s="286" t="s">
        <v>465</v>
      </c>
    </row>
    <row r="3892" spans="2:7" x14ac:dyDescent="0.2">
      <c r="B3892" s="180"/>
      <c r="C3892" s="185"/>
      <c r="D3892" s="181"/>
      <c r="E3892" s="186"/>
      <c r="F3892" s="222"/>
      <c r="G3892" s="230"/>
    </row>
    <row r="3893" spans="2:7" x14ac:dyDescent="0.2">
      <c r="B3893" s="157"/>
      <c r="C3893" s="158"/>
      <c r="D3893" s="156"/>
      <c r="E3893" s="156"/>
      <c r="F3893" s="159" t="s">
        <v>459</v>
      </c>
      <c r="G3893" s="183" t="s">
        <v>465</v>
      </c>
    </row>
    <row r="3894" spans="2:7" x14ac:dyDescent="0.2">
      <c r="B3894" s="157"/>
      <c r="C3894" s="158"/>
      <c r="D3894" s="156"/>
      <c r="E3894" s="156"/>
      <c r="F3894" s="159"/>
      <c r="G3894" s="160"/>
    </row>
    <row r="3895" spans="2:7" ht="17" thickBot="1" x14ac:dyDescent="0.25">
      <c r="B3895" s="206"/>
      <c r="C3895" s="207"/>
      <c r="D3895" s="208"/>
      <c r="E3895" s="209" t="s">
        <v>460</v>
      </c>
      <c r="F3895" s="210">
        <v>2259954.0299999998</v>
      </c>
      <c r="G3895" s="211">
        <v>1368</v>
      </c>
    </row>
    <row r="3896" spans="2:7" ht="17" thickTop="1" x14ac:dyDescent="0.2">
      <c r="B3896" s="212"/>
      <c r="C3896" s="213"/>
      <c r="D3896" s="212"/>
      <c r="E3896" s="212"/>
      <c r="F3896" s="212"/>
      <c r="G3896" s="212"/>
    </row>
    <row r="3897" spans="2:7" ht="17" thickBot="1" x14ac:dyDescent="0.25">
      <c r="B3897" s="212"/>
      <c r="C3897" s="213"/>
      <c r="D3897" s="212"/>
      <c r="E3897" s="212"/>
      <c r="F3897" s="212"/>
      <c r="G3897" s="212"/>
    </row>
    <row r="3898" spans="2:7" ht="17" thickTop="1" x14ac:dyDescent="0.2">
      <c r="B3898" s="537" t="s">
        <v>175</v>
      </c>
      <c r="C3898" s="538"/>
      <c r="D3898" s="538"/>
      <c r="E3898" s="538"/>
      <c r="F3898" s="148"/>
      <c r="G3898" s="149" t="s">
        <v>608</v>
      </c>
    </row>
    <row r="3899" spans="2:7" x14ac:dyDescent="0.2">
      <c r="B3899" s="539"/>
      <c r="C3899" s="540"/>
      <c r="D3899" s="540"/>
      <c r="E3899" s="540"/>
      <c r="F3899" s="150"/>
      <c r="G3899" s="151" t="s">
        <v>477</v>
      </c>
    </row>
    <row r="3900" spans="2:7" x14ac:dyDescent="0.2">
      <c r="B3900" s="152" t="s">
        <v>1</v>
      </c>
      <c r="C3900" s="153" t="s">
        <v>2</v>
      </c>
      <c r="D3900" s="153" t="s">
        <v>3</v>
      </c>
      <c r="E3900" s="153" t="s">
        <v>441</v>
      </c>
      <c r="F3900" s="154" t="s">
        <v>442</v>
      </c>
      <c r="G3900" s="155" t="s">
        <v>443</v>
      </c>
    </row>
    <row r="3901" spans="2:7" x14ac:dyDescent="0.2">
      <c r="B3901" s="157"/>
      <c r="C3901" s="158"/>
      <c r="D3901" s="156"/>
      <c r="E3901" s="156"/>
      <c r="F3901" s="159"/>
      <c r="G3901" s="160"/>
    </row>
    <row r="3902" spans="2:7" x14ac:dyDescent="0.2">
      <c r="B3902" s="161" t="s">
        <v>444</v>
      </c>
      <c r="C3902" s="158"/>
      <c r="D3902" s="156"/>
      <c r="E3902" s="156"/>
      <c r="F3902" s="159"/>
      <c r="G3902" s="160"/>
    </row>
    <row r="3903" spans="2:7" x14ac:dyDescent="0.2">
      <c r="B3903" s="236"/>
      <c r="C3903" s="185"/>
      <c r="D3903" s="181"/>
      <c r="E3903" s="186"/>
      <c r="F3903" s="222"/>
      <c r="G3903" s="237"/>
    </row>
    <row r="3904" spans="2:7" x14ac:dyDescent="0.2">
      <c r="B3904" s="157"/>
      <c r="C3904" s="158"/>
      <c r="D3904" s="156"/>
      <c r="E3904" s="156"/>
      <c r="F3904" s="159" t="s">
        <v>446</v>
      </c>
      <c r="G3904" s="183" t="s">
        <v>465</v>
      </c>
    </row>
    <row r="3905" spans="2:7" x14ac:dyDescent="0.2">
      <c r="B3905" s="379" t="s">
        <v>447</v>
      </c>
      <c r="C3905" s="158" t="s">
        <v>588</v>
      </c>
      <c r="D3905" s="158" t="s">
        <v>589</v>
      </c>
      <c r="E3905" s="158" t="s">
        <v>590</v>
      </c>
      <c r="F3905" s="380" t="s">
        <v>591</v>
      </c>
      <c r="G3905" s="381" t="s">
        <v>592</v>
      </c>
    </row>
    <row r="3906" spans="2:7" x14ac:dyDescent="0.2">
      <c r="B3906" s="471" t="s">
        <v>523</v>
      </c>
      <c r="C3906" s="486">
        <v>401056</v>
      </c>
      <c r="D3906" s="181">
        <v>1.47</v>
      </c>
      <c r="E3906" s="396">
        <v>589552</v>
      </c>
      <c r="F3906" s="487">
        <v>1.25E-3</v>
      </c>
      <c r="G3906" s="488">
        <v>736.94</v>
      </c>
    </row>
    <row r="3907" spans="2:7" x14ac:dyDescent="0.2">
      <c r="B3907" s="475" t="s">
        <v>524</v>
      </c>
      <c r="C3907" s="486">
        <v>107474</v>
      </c>
      <c r="D3907" s="415">
        <v>1.47</v>
      </c>
      <c r="E3907" s="464">
        <v>157986</v>
      </c>
      <c r="F3907" s="490">
        <v>1.25E-3</v>
      </c>
      <c r="G3907" s="502">
        <v>197.48</v>
      </c>
    </row>
    <row r="3908" spans="2:7" x14ac:dyDescent="0.2">
      <c r="B3908" s="475" t="s">
        <v>525</v>
      </c>
      <c r="C3908" s="486">
        <v>272540</v>
      </c>
      <c r="D3908" s="415">
        <v>1.47</v>
      </c>
      <c r="E3908" s="363">
        <v>400633</v>
      </c>
      <c r="F3908" s="491">
        <v>0</v>
      </c>
      <c r="G3908" s="502">
        <v>250.4</v>
      </c>
    </row>
    <row r="3909" spans="2:7" x14ac:dyDescent="0.2">
      <c r="B3909" s="180"/>
      <c r="C3909" s="185"/>
      <c r="D3909" s="181"/>
      <c r="E3909" s="170"/>
      <c r="F3909" s="222"/>
      <c r="G3909" s="230"/>
    </row>
    <row r="3910" spans="2:7" x14ac:dyDescent="0.2">
      <c r="B3910" s="157"/>
      <c r="C3910" s="158"/>
      <c r="D3910" s="156"/>
      <c r="E3910" s="156"/>
      <c r="F3910" s="159" t="s">
        <v>449</v>
      </c>
      <c r="G3910" s="183">
        <v>1184.82</v>
      </c>
    </row>
    <row r="3911" spans="2:7" x14ac:dyDescent="0.2">
      <c r="B3911" s="161" t="s">
        <v>450</v>
      </c>
      <c r="C3911" s="158"/>
      <c r="D3911" s="156"/>
      <c r="E3911" s="156"/>
      <c r="F3911" s="159"/>
      <c r="G3911" s="160"/>
    </row>
    <row r="3912" spans="2:7" x14ac:dyDescent="0.2">
      <c r="B3912" s="218" t="s">
        <v>551</v>
      </c>
      <c r="C3912" s="219" t="s">
        <v>2</v>
      </c>
      <c r="D3912" s="229"/>
      <c r="E3912" s="229"/>
      <c r="F3912" s="492">
        <v>1000</v>
      </c>
      <c r="G3912" s="221" t="s">
        <v>465</v>
      </c>
    </row>
    <row r="3913" spans="2:7" x14ac:dyDescent="0.2">
      <c r="B3913" s="152" t="s">
        <v>569</v>
      </c>
      <c r="C3913" s="219" t="s">
        <v>2</v>
      </c>
      <c r="D3913" s="229"/>
      <c r="E3913" s="229"/>
      <c r="F3913" s="492">
        <v>3700</v>
      </c>
      <c r="G3913" s="286" t="s">
        <v>465</v>
      </c>
    </row>
    <row r="3914" spans="2:7" x14ac:dyDescent="0.2">
      <c r="B3914" s="152" t="s">
        <v>552</v>
      </c>
      <c r="C3914" s="219" t="s">
        <v>2</v>
      </c>
      <c r="D3914" s="229"/>
      <c r="E3914" s="229"/>
      <c r="F3914" s="492">
        <v>1800</v>
      </c>
      <c r="G3914" s="286" t="s">
        <v>465</v>
      </c>
    </row>
    <row r="3915" spans="2:7" x14ac:dyDescent="0.2">
      <c r="B3915" s="180"/>
      <c r="C3915" s="185"/>
      <c r="D3915" s="181"/>
      <c r="E3915" s="186"/>
      <c r="F3915" s="222"/>
      <c r="G3915" s="230"/>
    </row>
    <row r="3916" spans="2:7" x14ac:dyDescent="0.2">
      <c r="B3916" s="157"/>
      <c r="C3916" s="158"/>
      <c r="D3916" s="156"/>
      <c r="E3916" s="156"/>
      <c r="F3916" s="159" t="s">
        <v>452</v>
      </c>
      <c r="G3916" s="183" t="s">
        <v>465</v>
      </c>
    </row>
    <row r="3917" spans="2:7" x14ac:dyDescent="0.2">
      <c r="B3917" s="161" t="s">
        <v>453</v>
      </c>
      <c r="C3917" s="158"/>
      <c r="D3917" s="156"/>
      <c r="E3917" s="156"/>
      <c r="F3917" s="159"/>
      <c r="G3917" s="160"/>
    </row>
    <row r="3918" spans="2:7" x14ac:dyDescent="0.2">
      <c r="B3918" s="218" t="s">
        <v>626</v>
      </c>
      <c r="C3918" s="219" t="s">
        <v>286</v>
      </c>
      <c r="D3918" s="229"/>
      <c r="E3918" s="229"/>
      <c r="F3918" s="470">
        <v>112200</v>
      </c>
      <c r="G3918" s="221" t="s">
        <v>465</v>
      </c>
    </row>
    <row r="3919" spans="2:7" x14ac:dyDescent="0.2">
      <c r="B3919" s="152" t="s">
        <v>642</v>
      </c>
      <c r="C3919" s="219" t="s">
        <v>286</v>
      </c>
      <c r="D3919" s="229"/>
      <c r="E3919" s="229"/>
      <c r="F3919" s="470">
        <v>17360</v>
      </c>
      <c r="G3919" s="286" t="s">
        <v>465</v>
      </c>
    </row>
    <row r="3920" spans="2:7" x14ac:dyDescent="0.2">
      <c r="B3920" s="180"/>
      <c r="C3920" s="185"/>
      <c r="D3920" s="181"/>
      <c r="E3920" s="186"/>
      <c r="F3920" s="222"/>
      <c r="G3920" s="230"/>
    </row>
    <row r="3921" spans="2:7" x14ac:dyDescent="0.2">
      <c r="B3921" s="157"/>
      <c r="C3921" s="158"/>
      <c r="D3921" s="156"/>
      <c r="E3921" s="156"/>
      <c r="F3921" s="159" t="s">
        <v>459</v>
      </c>
      <c r="G3921" s="183" t="s">
        <v>465</v>
      </c>
    </row>
    <row r="3922" spans="2:7" x14ac:dyDescent="0.2">
      <c r="B3922" s="157"/>
      <c r="C3922" s="158"/>
      <c r="D3922" s="156"/>
      <c r="E3922" s="156"/>
      <c r="F3922" s="159"/>
      <c r="G3922" s="160"/>
    </row>
    <row r="3923" spans="2:7" ht="17" thickBot="1" x14ac:dyDescent="0.25">
      <c r="B3923" s="206"/>
      <c r="C3923" s="207"/>
      <c r="D3923" s="208"/>
      <c r="E3923" s="209" t="s">
        <v>460</v>
      </c>
      <c r="F3923" s="210">
        <v>2165149.09</v>
      </c>
      <c r="G3923" s="211">
        <v>1185</v>
      </c>
    </row>
    <row r="3924" spans="2:7" ht="17" thickTop="1" x14ac:dyDescent="0.2">
      <c r="B3924" s="212"/>
      <c r="C3924" s="213"/>
      <c r="D3924" s="212"/>
      <c r="E3924" s="212"/>
      <c r="F3924" s="212"/>
      <c r="G3924" s="212"/>
    </row>
    <row r="3925" spans="2:7" ht="17" thickBot="1" x14ac:dyDescent="0.25">
      <c r="B3925" s="212"/>
      <c r="C3925" s="213"/>
      <c r="D3925" s="212"/>
      <c r="E3925" s="212"/>
      <c r="F3925" s="212"/>
      <c r="G3925" s="212"/>
    </row>
    <row r="3926" spans="2:7" ht="17" thickTop="1" x14ac:dyDescent="0.2">
      <c r="B3926" s="537" t="s">
        <v>176</v>
      </c>
      <c r="C3926" s="538"/>
      <c r="D3926" s="538"/>
      <c r="E3926" s="538"/>
      <c r="F3926" s="148"/>
      <c r="G3926" s="149" t="s">
        <v>608</v>
      </c>
    </row>
    <row r="3927" spans="2:7" x14ac:dyDescent="0.2">
      <c r="B3927" s="539"/>
      <c r="C3927" s="540"/>
      <c r="D3927" s="540"/>
      <c r="E3927" s="540"/>
      <c r="F3927" s="150"/>
      <c r="G3927" s="151" t="s">
        <v>477</v>
      </c>
    </row>
    <row r="3928" spans="2:7" x14ac:dyDescent="0.2">
      <c r="B3928" s="152" t="s">
        <v>1</v>
      </c>
      <c r="C3928" s="153" t="s">
        <v>2</v>
      </c>
      <c r="D3928" s="153" t="s">
        <v>3</v>
      </c>
      <c r="E3928" s="153" t="s">
        <v>441</v>
      </c>
      <c r="F3928" s="154" t="s">
        <v>442</v>
      </c>
      <c r="G3928" s="155" t="s">
        <v>443</v>
      </c>
    </row>
    <row r="3929" spans="2:7" x14ac:dyDescent="0.2">
      <c r="B3929" s="157"/>
      <c r="C3929" s="158"/>
      <c r="D3929" s="156"/>
      <c r="E3929" s="156"/>
      <c r="F3929" s="159"/>
      <c r="G3929" s="160"/>
    </row>
    <row r="3930" spans="2:7" x14ac:dyDescent="0.2">
      <c r="B3930" s="161" t="s">
        <v>444</v>
      </c>
      <c r="C3930" s="158"/>
      <c r="D3930" s="156"/>
      <c r="E3930" s="156"/>
      <c r="F3930" s="159"/>
      <c r="G3930" s="160"/>
    </row>
    <row r="3931" spans="2:7" x14ac:dyDescent="0.2">
      <c r="B3931" s="236"/>
      <c r="C3931" s="185"/>
      <c r="D3931" s="181"/>
      <c r="E3931" s="186"/>
      <c r="F3931" s="222"/>
      <c r="G3931" s="237"/>
    </row>
    <row r="3932" spans="2:7" x14ac:dyDescent="0.2">
      <c r="B3932" s="157"/>
      <c r="C3932" s="158"/>
      <c r="D3932" s="156"/>
      <c r="E3932" s="156"/>
      <c r="F3932" s="159" t="s">
        <v>446</v>
      </c>
      <c r="G3932" s="183" t="s">
        <v>465</v>
      </c>
    </row>
    <row r="3933" spans="2:7" x14ac:dyDescent="0.2">
      <c r="B3933" s="379" t="s">
        <v>447</v>
      </c>
      <c r="C3933" s="158" t="s">
        <v>588</v>
      </c>
      <c r="D3933" s="158" t="s">
        <v>589</v>
      </c>
      <c r="E3933" s="158" t="s">
        <v>590</v>
      </c>
      <c r="F3933" s="380" t="s">
        <v>591</v>
      </c>
      <c r="G3933" s="381" t="s">
        <v>592</v>
      </c>
    </row>
    <row r="3934" spans="2:7" x14ac:dyDescent="0.2">
      <c r="B3934" s="471" t="s">
        <v>643</v>
      </c>
      <c r="C3934" s="486">
        <v>496859</v>
      </c>
      <c r="D3934" s="181">
        <v>1.47</v>
      </c>
      <c r="E3934" s="396">
        <v>730381</v>
      </c>
      <c r="F3934" s="487">
        <v>1E-3</v>
      </c>
      <c r="G3934" s="488">
        <v>730.38</v>
      </c>
    </row>
    <row r="3935" spans="2:7" x14ac:dyDescent="0.2">
      <c r="B3935" s="475" t="s">
        <v>524</v>
      </c>
      <c r="C3935" s="486">
        <v>107474</v>
      </c>
      <c r="D3935" s="415">
        <v>1.47</v>
      </c>
      <c r="E3935" s="464">
        <v>157986</v>
      </c>
      <c r="F3935" s="490">
        <v>1E-3</v>
      </c>
      <c r="G3935" s="502">
        <v>157.99</v>
      </c>
    </row>
    <row r="3936" spans="2:7" x14ac:dyDescent="0.2">
      <c r="B3936" s="475" t="s">
        <v>525</v>
      </c>
      <c r="C3936" s="486">
        <v>272540</v>
      </c>
      <c r="D3936" s="415">
        <v>1.47</v>
      </c>
      <c r="E3936" s="363">
        <v>400633</v>
      </c>
      <c r="F3936" s="491">
        <v>0</v>
      </c>
      <c r="G3936" s="502">
        <v>200.32</v>
      </c>
    </row>
    <row r="3937" spans="2:7" x14ac:dyDescent="0.2">
      <c r="B3937" s="180"/>
      <c r="C3937" s="185"/>
      <c r="D3937" s="181"/>
      <c r="E3937" s="170"/>
      <c r="F3937" s="222"/>
      <c r="G3937" s="230"/>
    </row>
    <row r="3938" spans="2:7" x14ac:dyDescent="0.2">
      <c r="B3938" s="157"/>
      <c r="C3938" s="158"/>
      <c r="D3938" s="156"/>
      <c r="E3938" s="156"/>
      <c r="F3938" s="159" t="s">
        <v>449</v>
      </c>
      <c r="G3938" s="183">
        <v>1088.68</v>
      </c>
    </row>
    <row r="3939" spans="2:7" x14ac:dyDescent="0.2">
      <c r="B3939" s="161" t="s">
        <v>450</v>
      </c>
      <c r="C3939" s="158"/>
      <c r="D3939" s="156"/>
      <c r="E3939" s="156"/>
      <c r="F3939" s="159"/>
      <c r="G3939" s="160"/>
    </row>
    <row r="3940" spans="2:7" x14ac:dyDescent="0.2">
      <c r="B3940" s="218" t="s">
        <v>551</v>
      </c>
      <c r="C3940" s="219" t="s">
        <v>2</v>
      </c>
      <c r="D3940" s="229"/>
      <c r="E3940" s="229"/>
      <c r="F3940" s="492">
        <v>1000</v>
      </c>
      <c r="G3940" s="221" t="s">
        <v>465</v>
      </c>
    </row>
    <row r="3941" spans="2:7" x14ac:dyDescent="0.2">
      <c r="B3941" s="152" t="s">
        <v>569</v>
      </c>
      <c r="C3941" s="219" t="s">
        <v>2</v>
      </c>
      <c r="D3941" s="229"/>
      <c r="E3941" s="229"/>
      <c r="F3941" s="492">
        <v>3700</v>
      </c>
      <c r="G3941" s="286" t="s">
        <v>465</v>
      </c>
    </row>
    <row r="3942" spans="2:7" x14ac:dyDescent="0.2">
      <c r="B3942" s="152" t="s">
        <v>552</v>
      </c>
      <c r="C3942" s="219" t="s">
        <v>2</v>
      </c>
      <c r="D3942" s="229"/>
      <c r="E3942" s="229"/>
      <c r="F3942" s="492">
        <v>1800</v>
      </c>
      <c r="G3942" s="286" t="s">
        <v>465</v>
      </c>
    </row>
    <row r="3943" spans="2:7" x14ac:dyDescent="0.2">
      <c r="B3943" s="180"/>
      <c r="C3943" s="185"/>
      <c r="D3943" s="181"/>
      <c r="E3943" s="186"/>
      <c r="F3943" s="222"/>
      <c r="G3943" s="230"/>
    </row>
    <row r="3944" spans="2:7" x14ac:dyDescent="0.2">
      <c r="B3944" s="157"/>
      <c r="C3944" s="158"/>
      <c r="D3944" s="156"/>
      <c r="E3944" s="156"/>
      <c r="F3944" s="159" t="s">
        <v>452</v>
      </c>
      <c r="G3944" s="183" t="s">
        <v>465</v>
      </c>
    </row>
    <row r="3945" spans="2:7" x14ac:dyDescent="0.2">
      <c r="B3945" s="161" t="s">
        <v>453</v>
      </c>
      <c r="C3945" s="158"/>
      <c r="D3945" s="156"/>
      <c r="E3945" s="156"/>
      <c r="F3945" s="159"/>
      <c r="G3945" s="160"/>
    </row>
    <row r="3946" spans="2:7" x14ac:dyDescent="0.2">
      <c r="B3946" s="218" t="s">
        <v>626</v>
      </c>
      <c r="C3946" s="219" t="s">
        <v>286</v>
      </c>
      <c r="D3946" s="229"/>
      <c r="E3946" s="229"/>
      <c r="F3946" s="470">
        <v>112200</v>
      </c>
      <c r="G3946" s="221" t="s">
        <v>465</v>
      </c>
    </row>
    <row r="3947" spans="2:7" x14ac:dyDescent="0.2">
      <c r="B3947" s="152" t="s">
        <v>642</v>
      </c>
      <c r="C3947" s="219" t="s">
        <v>286</v>
      </c>
      <c r="D3947" s="229"/>
      <c r="E3947" s="229"/>
      <c r="F3947" s="470">
        <v>17360</v>
      </c>
      <c r="G3947" s="286" t="s">
        <v>465</v>
      </c>
    </row>
    <row r="3948" spans="2:7" x14ac:dyDescent="0.2">
      <c r="B3948" s="180"/>
      <c r="C3948" s="185"/>
      <c r="D3948" s="181"/>
      <c r="E3948" s="186"/>
      <c r="F3948" s="222"/>
      <c r="G3948" s="230"/>
    </row>
    <row r="3949" spans="2:7" x14ac:dyDescent="0.2">
      <c r="B3949" s="157"/>
      <c r="C3949" s="158"/>
      <c r="D3949" s="156"/>
      <c r="E3949" s="156"/>
      <c r="F3949" s="159" t="s">
        <v>459</v>
      </c>
      <c r="G3949" s="183" t="s">
        <v>465</v>
      </c>
    </row>
    <row r="3950" spans="2:7" x14ac:dyDescent="0.2">
      <c r="B3950" s="157"/>
      <c r="C3950" s="158"/>
      <c r="D3950" s="156"/>
      <c r="E3950" s="156"/>
      <c r="F3950" s="159"/>
      <c r="G3950" s="160"/>
    </row>
    <row r="3951" spans="2:7" ht="17" thickBot="1" x14ac:dyDescent="0.25">
      <c r="B3951" s="206"/>
      <c r="C3951" s="207"/>
      <c r="D3951" s="208"/>
      <c r="E3951" s="209" t="s">
        <v>460</v>
      </c>
      <c r="F3951" s="210">
        <v>2046777.94</v>
      </c>
      <c r="G3951" s="211">
        <v>1089</v>
      </c>
    </row>
    <row r="3952" spans="2:7" ht="17" thickTop="1" x14ac:dyDescent="0.2">
      <c r="B3952" s="212"/>
      <c r="C3952" s="213"/>
      <c r="D3952" s="212"/>
      <c r="E3952" s="212"/>
      <c r="F3952" s="212"/>
      <c r="G3952" s="212"/>
    </row>
    <row r="3953" spans="2:7" ht="17" thickBot="1" x14ac:dyDescent="0.25">
      <c r="B3953" s="212"/>
      <c r="C3953" s="213"/>
      <c r="D3953" s="212"/>
      <c r="E3953" s="212"/>
      <c r="F3953" s="212"/>
      <c r="G3953" s="212"/>
    </row>
    <row r="3954" spans="2:7" ht="17" thickTop="1" x14ac:dyDescent="0.2">
      <c r="B3954" s="537" t="s">
        <v>177</v>
      </c>
      <c r="C3954" s="538"/>
      <c r="D3954" s="538"/>
      <c r="E3954" s="538"/>
      <c r="F3954" s="148"/>
      <c r="G3954" s="149" t="s">
        <v>608</v>
      </c>
    </row>
    <row r="3955" spans="2:7" x14ac:dyDescent="0.2">
      <c r="B3955" s="539"/>
      <c r="C3955" s="540"/>
      <c r="D3955" s="540"/>
      <c r="E3955" s="540"/>
      <c r="F3955" s="150"/>
      <c r="G3955" s="151" t="s">
        <v>477</v>
      </c>
    </row>
    <row r="3956" spans="2:7" x14ac:dyDescent="0.2">
      <c r="B3956" s="152" t="s">
        <v>1</v>
      </c>
      <c r="C3956" s="153" t="s">
        <v>2</v>
      </c>
      <c r="D3956" s="153" t="s">
        <v>3</v>
      </c>
      <c r="E3956" s="153" t="s">
        <v>441</v>
      </c>
      <c r="F3956" s="154" t="s">
        <v>442</v>
      </c>
      <c r="G3956" s="155" t="s">
        <v>443</v>
      </c>
    </row>
    <row r="3957" spans="2:7" x14ac:dyDescent="0.2">
      <c r="B3957" s="157"/>
      <c r="C3957" s="158"/>
      <c r="D3957" s="156"/>
      <c r="E3957" s="156"/>
      <c r="F3957" s="159"/>
      <c r="G3957" s="160"/>
    </row>
    <row r="3958" spans="2:7" x14ac:dyDescent="0.2">
      <c r="B3958" s="161" t="s">
        <v>444</v>
      </c>
      <c r="C3958" s="158"/>
      <c r="D3958" s="156"/>
      <c r="E3958" s="156"/>
      <c r="F3958" s="159"/>
      <c r="G3958" s="160"/>
    </row>
    <row r="3959" spans="2:7" x14ac:dyDescent="0.2">
      <c r="B3959" s="236"/>
      <c r="C3959" s="185"/>
      <c r="D3959" s="181"/>
      <c r="E3959" s="186"/>
      <c r="F3959" s="222"/>
      <c r="G3959" s="237"/>
    </row>
    <row r="3960" spans="2:7" x14ac:dyDescent="0.2">
      <c r="B3960" s="157"/>
      <c r="C3960" s="158"/>
      <c r="D3960" s="156"/>
      <c r="E3960" s="156"/>
      <c r="F3960" s="159" t="s">
        <v>446</v>
      </c>
      <c r="G3960" s="183" t="s">
        <v>465</v>
      </c>
    </row>
    <row r="3961" spans="2:7" x14ac:dyDescent="0.2">
      <c r="B3961" s="379" t="s">
        <v>447</v>
      </c>
      <c r="C3961" s="158" t="s">
        <v>588</v>
      </c>
      <c r="D3961" s="158" t="s">
        <v>589</v>
      </c>
      <c r="E3961" s="158" t="s">
        <v>590</v>
      </c>
      <c r="F3961" s="380" t="s">
        <v>591</v>
      </c>
      <c r="G3961" s="381" t="s">
        <v>592</v>
      </c>
    </row>
    <row r="3962" spans="2:7" x14ac:dyDescent="0.2">
      <c r="B3962" s="471" t="s">
        <v>644</v>
      </c>
      <c r="C3962" s="486">
        <v>691366</v>
      </c>
      <c r="D3962" s="181">
        <v>1.47</v>
      </c>
      <c r="E3962" s="396">
        <v>1016308</v>
      </c>
      <c r="F3962" s="487">
        <v>7.1000000000000002E-4</v>
      </c>
      <c r="G3962" s="488">
        <v>725.93</v>
      </c>
    </row>
    <row r="3963" spans="2:7" x14ac:dyDescent="0.2">
      <c r="B3963" s="475" t="s">
        <v>524</v>
      </c>
      <c r="C3963" s="486">
        <v>107474</v>
      </c>
      <c r="D3963" s="415">
        <v>1.47</v>
      </c>
      <c r="E3963" s="464">
        <v>157986</v>
      </c>
      <c r="F3963" s="490">
        <v>7.1000000000000002E-4</v>
      </c>
      <c r="G3963" s="502">
        <v>112.85</v>
      </c>
    </row>
    <row r="3964" spans="2:7" x14ac:dyDescent="0.2">
      <c r="B3964" s="475" t="s">
        <v>525</v>
      </c>
      <c r="C3964" s="486">
        <v>272540</v>
      </c>
      <c r="D3964" s="415">
        <v>1.47</v>
      </c>
      <c r="E3964" s="363">
        <v>400633</v>
      </c>
      <c r="F3964" s="491">
        <v>0</v>
      </c>
      <c r="G3964" s="502">
        <v>143.08000000000001</v>
      </c>
    </row>
    <row r="3965" spans="2:7" x14ac:dyDescent="0.2">
      <c r="B3965" s="180"/>
      <c r="C3965" s="185"/>
      <c r="D3965" s="181"/>
      <c r="E3965" s="170"/>
      <c r="F3965" s="222"/>
      <c r="G3965" s="230"/>
    </row>
    <row r="3966" spans="2:7" x14ac:dyDescent="0.2">
      <c r="B3966" s="157"/>
      <c r="C3966" s="158"/>
      <c r="D3966" s="156"/>
      <c r="E3966" s="156"/>
      <c r="F3966" s="159" t="s">
        <v>449</v>
      </c>
      <c r="G3966" s="183">
        <v>981.86</v>
      </c>
    </row>
    <row r="3967" spans="2:7" x14ac:dyDescent="0.2">
      <c r="B3967" s="161" t="s">
        <v>450</v>
      </c>
      <c r="C3967" s="158"/>
      <c r="D3967" s="156"/>
      <c r="E3967" s="156"/>
      <c r="F3967" s="159"/>
      <c r="G3967" s="160"/>
    </row>
    <row r="3968" spans="2:7" x14ac:dyDescent="0.2">
      <c r="B3968" s="218" t="s">
        <v>551</v>
      </c>
      <c r="C3968" s="219" t="s">
        <v>2</v>
      </c>
      <c r="D3968" s="229"/>
      <c r="E3968" s="229"/>
      <c r="F3968" s="492">
        <v>1000</v>
      </c>
      <c r="G3968" s="221" t="s">
        <v>465</v>
      </c>
    </row>
    <row r="3969" spans="2:7" x14ac:dyDescent="0.2">
      <c r="B3969" s="152" t="s">
        <v>569</v>
      </c>
      <c r="C3969" s="219" t="s">
        <v>2</v>
      </c>
      <c r="D3969" s="229"/>
      <c r="E3969" s="229"/>
      <c r="F3969" s="492">
        <v>3700</v>
      </c>
      <c r="G3969" s="286" t="s">
        <v>465</v>
      </c>
    </row>
    <row r="3970" spans="2:7" x14ac:dyDescent="0.2">
      <c r="B3970" s="152" t="s">
        <v>552</v>
      </c>
      <c r="C3970" s="219" t="s">
        <v>2</v>
      </c>
      <c r="D3970" s="229"/>
      <c r="E3970" s="229"/>
      <c r="F3970" s="492">
        <v>1800</v>
      </c>
      <c r="G3970" s="286" t="s">
        <v>465</v>
      </c>
    </row>
    <row r="3971" spans="2:7" x14ac:dyDescent="0.2">
      <c r="B3971" s="180"/>
      <c r="C3971" s="185"/>
      <c r="D3971" s="181"/>
      <c r="E3971" s="186"/>
      <c r="F3971" s="222"/>
      <c r="G3971" s="230"/>
    </row>
    <row r="3972" spans="2:7" x14ac:dyDescent="0.2">
      <c r="B3972" s="157"/>
      <c r="C3972" s="158"/>
      <c r="D3972" s="156"/>
      <c r="E3972" s="156"/>
      <c r="F3972" s="159" t="s">
        <v>452</v>
      </c>
      <c r="G3972" s="183" t="s">
        <v>465</v>
      </c>
    </row>
    <row r="3973" spans="2:7" x14ac:dyDescent="0.2">
      <c r="B3973" s="161" t="s">
        <v>453</v>
      </c>
      <c r="C3973" s="158"/>
      <c r="D3973" s="156"/>
      <c r="E3973" s="156"/>
      <c r="F3973" s="159"/>
      <c r="G3973" s="160"/>
    </row>
    <row r="3974" spans="2:7" x14ac:dyDescent="0.2">
      <c r="B3974" s="218" t="s">
        <v>626</v>
      </c>
      <c r="C3974" s="219" t="s">
        <v>286</v>
      </c>
      <c r="D3974" s="229"/>
      <c r="E3974" s="229"/>
      <c r="F3974" s="470">
        <v>112200</v>
      </c>
      <c r="G3974" s="221" t="s">
        <v>465</v>
      </c>
    </row>
    <row r="3975" spans="2:7" x14ac:dyDescent="0.2">
      <c r="B3975" s="152" t="s">
        <v>642</v>
      </c>
      <c r="C3975" s="219" t="s">
        <v>286</v>
      </c>
      <c r="D3975" s="229"/>
      <c r="E3975" s="229"/>
      <c r="F3975" s="470">
        <v>17360</v>
      </c>
      <c r="G3975" s="286" t="s">
        <v>465</v>
      </c>
    </row>
    <row r="3976" spans="2:7" x14ac:dyDescent="0.2">
      <c r="B3976" s="180"/>
      <c r="C3976" s="185"/>
      <c r="D3976" s="181"/>
      <c r="E3976" s="186"/>
      <c r="F3976" s="222"/>
      <c r="G3976" s="230"/>
    </row>
    <row r="3977" spans="2:7" x14ac:dyDescent="0.2">
      <c r="B3977" s="157"/>
      <c r="C3977" s="158"/>
      <c r="D3977" s="156"/>
      <c r="E3977" s="156"/>
      <c r="F3977" s="159" t="s">
        <v>459</v>
      </c>
      <c r="G3977" s="183" t="s">
        <v>465</v>
      </c>
    </row>
    <row r="3978" spans="2:7" x14ac:dyDescent="0.2">
      <c r="B3978" s="157"/>
      <c r="C3978" s="158"/>
      <c r="D3978" s="156"/>
      <c r="E3978" s="156"/>
      <c r="F3978" s="159"/>
      <c r="G3978" s="160"/>
    </row>
    <row r="3979" spans="2:7" ht="17" thickBot="1" x14ac:dyDescent="0.25">
      <c r="B3979" s="206"/>
      <c r="C3979" s="207"/>
      <c r="D3979" s="208"/>
      <c r="E3979" s="209" t="s">
        <v>460</v>
      </c>
      <c r="F3979" s="210">
        <v>1894369.31</v>
      </c>
      <c r="G3979" s="211">
        <v>982</v>
      </c>
    </row>
    <row r="3980" spans="2:7" ht="17" thickTop="1" x14ac:dyDescent="0.2">
      <c r="B3980" s="212"/>
      <c r="C3980" s="213"/>
      <c r="D3980" s="212"/>
      <c r="E3980" s="212"/>
      <c r="F3980" s="212"/>
      <c r="G3980" s="212"/>
    </row>
    <row r="3981" spans="2:7" ht="17" thickBot="1" x14ac:dyDescent="0.25">
      <c r="B3981" s="212"/>
      <c r="C3981" s="213"/>
      <c r="D3981" s="212"/>
      <c r="E3981" s="212"/>
      <c r="F3981" s="212"/>
      <c r="G3981" s="212"/>
    </row>
    <row r="3982" spans="2:7" ht="17" thickTop="1" x14ac:dyDescent="0.2">
      <c r="B3982" s="537" t="s">
        <v>178</v>
      </c>
      <c r="C3982" s="538"/>
      <c r="D3982" s="538"/>
      <c r="E3982" s="538"/>
      <c r="F3982" s="148"/>
      <c r="G3982" s="149" t="s">
        <v>608</v>
      </c>
    </row>
    <row r="3983" spans="2:7" x14ac:dyDescent="0.2">
      <c r="B3983" s="539"/>
      <c r="C3983" s="540"/>
      <c r="D3983" s="540"/>
      <c r="E3983" s="540"/>
      <c r="F3983" s="150"/>
      <c r="G3983" s="151" t="s">
        <v>477</v>
      </c>
    </row>
    <row r="3984" spans="2:7" x14ac:dyDescent="0.2">
      <c r="B3984" s="152" t="s">
        <v>1</v>
      </c>
      <c r="C3984" s="153" t="s">
        <v>2</v>
      </c>
      <c r="D3984" s="153" t="s">
        <v>3</v>
      </c>
      <c r="E3984" s="153" t="s">
        <v>441</v>
      </c>
      <c r="F3984" s="154" t="s">
        <v>442</v>
      </c>
      <c r="G3984" s="155" t="s">
        <v>443</v>
      </c>
    </row>
    <row r="3985" spans="2:7" x14ac:dyDescent="0.2">
      <c r="B3985" s="157"/>
      <c r="C3985" s="158"/>
      <c r="D3985" s="156"/>
      <c r="E3985" s="156"/>
      <c r="F3985" s="159"/>
      <c r="G3985" s="160"/>
    </row>
    <row r="3986" spans="2:7" x14ac:dyDescent="0.2">
      <c r="B3986" s="161" t="s">
        <v>444</v>
      </c>
      <c r="C3986" s="158"/>
      <c r="D3986" s="156"/>
      <c r="E3986" s="156"/>
      <c r="F3986" s="159"/>
      <c r="G3986" s="160"/>
    </row>
    <row r="3987" spans="2:7" x14ac:dyDescent="0.2">
      <c r="B3987" s="236"/>
      <c r="C3987" s="185"/>
      <c r="D3987" s="181"/>
      <c r="E3987" s="186"/>
      <c r="F3987" s="222"/>
      <c r="G3987" s="237"/>
    </row>
    <row r="3988" spans="2:7" x14ac:dyDescent="0.2">
      <c r="B3988" s="157"/>
      <c r="C3988" s="158"/>
      <c r="D3988" s="156"/>
      <c r="E3988" s="156"/>
      <c r="F3988" s="159" t="s">
        <v>446</v>
      </c>
      <c r="G3988" s="183" t="s">
        <v>465</v>
      </c>
    </row>
    <row r="3989" spans="2:7" x14ac:dyDescent="0.2">
      <c r="B3989" s="379" t="s">
        <v>447</v>
      </c>
      <c r="C3989" s="158" t="s">
        <v>588</v>
      </c>
      <c r="D3989" s="158" t="s">
        <v>589</v>
      </c>
      <c r="E3989" s="158" t="s">
        <v>590</v>
      </c>
      <c r="F3989" s="380" t="s">
        <v>591</v>
      </c>
      <c r="G3989" s="381" t="s">
        <v>592</v>
      </c>
    </row>
    <row r="3990" spans="2:7" x14ac:dyDescent="0.2">
      <c r="B3990" s="471" t="s">
        <v>645</v>
      </c>
      <c r="C3990" s="486">
        <v>907136</v>
      </c>
      <c r="D3990" s="181">
        <v>1.47</v>
      </c>
      <c r="E3990" s="396">
        <v>1333489</v>
      </c>
      <c r="F3990" s="487">
        <v>5.5999999999999995E-4</v>
      </c>
      <c r="G3990" s="488">
        <v>740.83</v>
      </c>
    </row>
    <row r="3991" spans="2:7" x14ac:dyDescent="0.2">
      <c r="B3991" s="475" t="s">
        <v>524</v>
      </c>
      <c r="C3991" s="486">
        <v>107474</v>
      </c>
      <c r="D3991" s="415">
        <v>1.47</v>
      </c>
      <c r="E3991" s="464">
        <v>157986</v>
      </c>
      <c r="F3991" s="490">
        <v>5.5999999999999995E-4</v>
      </c>
      <c r="G3991" s="502">
        <v>87.77</v>
      </c>
    </row>
    <row r="3992" spans="2:7" x14ac:dyDescent="0.2">
      <c r="B3992" s="475" t="s">
        <v>525</v>
      </c>
      <c r="C3992" s="486">
        <v>272540</v>
      </c>
      <c r="D3992" s="415">
        <v>1.47</v>
      </c>
      <c r="E3992" s="363">
        <v>400633</v>
      </c>
      <c r="F3992" s="491">
        <v>0</v>
      </c>
      <c r="G3992" s="502">
        <v>111.29</v>
      </c>
    </row>
    <row r="3993" spans="2:7" x14ac:dyDescent="0.2">
      <c r="B3993" s="180"/>
      <c r="C3993" s="185"/>
      <c r="D3993" s="181"/>
      <c r="E3993" s="170"/>
      <c r="F3993" s="222"/>
      <c r="G3993" s="230"/>
    </row>
    <row r="3994" spans="2:7" x14ac:dyDescent="0.2">
      <c r="B3994" s="157"/>
      <c r="C3994" s="158"/>
      <c r="D3994" s="156"/>
      <c r="E3994" s="156"/>
      <c r="F3994" s="159" t="s">
        <v>449</v>
      </c>
      <c r="G3994" s="183">
        <v>939.88</v>
      </c>
    </row>
    <row r="3995" spans="2:7" x14ac:dyDescent="0.2">
      <c r="B3995" s="161" t="s">
        <v>450</v>
      </c>
      <c r="C3995" s="158"/>
      <c r="D3995" s="156"/>
      <c r="E3995" s="156"/>
      <c r="F3995" s="159"/>
      <c r="G3995" s="160"/>
    </row>
    <row r="3996" spans="2:7" x14ac:dyDescent="0.2">
      <c r="B3996" s="218" t="s">
        <v>551</v>
      </c>
      <c r="C3996" s="219" t="s">
        <v>2</v>
      </c>
      <c r="D3996" s="229"/>
      <c r="E3996" s="229"/>
      <c r="F3996" s="492">
        <v>1000</v>
      </c>
      <c r="G3996" s="221" t="s">
        <v>465</v>
      </c>
    </row>
    <row r="3997" spans="2:7" x14ac:dyDescent="0.2">
      <c r="B3997" s="152" t="s">
        <v>569</v>
      </c>
      <c r="C3997" s="219" t="s">
        <v>2</v>
      </c>
      <c r="D3997" s="229"/>
      <c r="E3997" s="229"/>
      <c r="F3997" s="492">
        <v>3700</v>
      </c>
      <c r="G3997" s="286" t="s">
        <v>465</v>
      </c>
    </row>
    <row r="3998" spans="2:7" x14ac:dyDescent="0.2">
      <c r="B3998" s="152" t="s">
        <v>552</v>
      </c>
      <c r="C3998" s="219" t="s">
        <v>2</v>
      </c>
      <c r="D3998" s="229"/>
      <c r="E3998" s="229"/>
      <c r="F3998" s="492">
        <v>1800</v>
      </c>
      <c r="G3998" s="286" t="s">
        <v>465</v>
      </c>
    </row>
    <row r="3999" spans="2:7" x14ac:dyDescent="0.2">
      <c r="B3999" s="180"/>
      <c r="C3999" s="185"/>
      <c r="D3999" s="181"/>
      <c r="E3999" s="186"/>
      <c r="F3999" s="222"/>
      <c r="G3999" s="230"/>
    </row>
    <row r="4000" spans="2:7" x14ac:dyDescent="0.2">
      <c r="B4000" s="157"/>
      <c r="C4000" s="158"/>
      <c r="D4000" s="156"/>
      <c r="E4000" s="156"/>
      <c r="F4000" s="159" t="s">
        <v>452</v>
      </c>
      <c r="G4000" s="183" t="s">
        <v>465</v>
      </c>
    </row>
    <row r="4001" spans="2:7" x14ac:dyDescent="0.2">
      <c r="B4001" s="161" t="s">
        <v>453</v>
      </c>
      <c r="C4001" s="158"/>
      <c r="D4001" s="156"/>
      <c r="E4001" s="156"/>
      <c r="F4001" s="159"/>
      <c r="G4001" s="160"/>
    </row>
    <row r="4002" spans="2:7" x14ac:dyDescent="0.2">
      <c r="B4002" s="218" t="s">
        <v>626</v>
      </c>
      <c r="C4002" s="219" t="s">
        <v>286</v>
      </c>
      <c r="D4002" s="229"/>
      <c r="E4002" s="229"/>
      <c r="F4002" s="470">
        <v>112200</v>
      </c>
      <c r="G4002" s="221" t="s">
        <v>465</v>
      </c>
    </row>
    <row r="4003" spans="2:7" x14ac:dyDescent="0.2">
      <c r="B4003" s="152" t="s">
        <v>642</v>
      </c>
      <c r="C4003" s="219" t="s">
        <v>286</v>
      </c>
      <c r="D4003" s="229"/>
      <c r="E4003" s="229"/>
      <c r="F4003" s="470">
        <v>17360</v>
      </c>
      <c r="G4003" s="286" t="s">
        <v>465</v>
      </c>
    </row>
    <row r="4004" spans="2:7" x14ac:dyDescent="0.2">
      <c r="B4004" s="180"/>
      <c r="C4004" s="185"/>
      <c r="D4004" s="181"/>
      <c r="E4004" s="186"/>
      <c r="F4004" s="222"/>
      <c r="G4004" s="230"/>
    </row>
    <row r="4005" spans="2:7" x14ac:dyDescent="0.2">
      <c r="B4005" s="157"/>
      <c r="C4005" s="158"/>
      <c r="D4005" s="156"/>
      <c r="E4005" s="156"/>
      <c r="F4005" s="159" t="s">
        <v>459</v>
      </c>
      <c r="G4005" s="183" t="s">
        <v>465</v>
      </c>
    </row>
    <row r="4006" spans="2:7" x14ac:dyDescent="0.2">
      <c r="B4006" s="157"/>
      <c r="C4006" s="158"/>
      <c r="D4006" s="156"/>
      <c r="E4006" s="156"/>
      <c r="F4006" s="159"/>
      <c r="G4006" s="160"/>
    </row>
    <row r="4007" spans="2:7" ht="17" thickBot="1" x14ac:dyDescent="0.25">
      <c r="B4007" s="206"/>
      <c r="C4007" s="207"/>
      <c r="D4007" s="208"/>
      <c r="E4007" s="209" t="s">
        <v>460</v>
      </c>
      <c r="F4007" s="210">
        <v>1699694.78</v>
      </c>
      <c r="G4007" s="211">
        <v>940</v>
      </c>
    </row>
    <row r="4008" spans="2:7" ht="17" thickTop="1" x14ac:dyDescent="0.2">
      <c r="B4008" s="212"/>
      <c r="C4008" s="213"/>
      <c r="D4008" s="212"/>
      <c r="E4008" s="212"/>
      <c r="F4008" s="212"/>
      <c r="G4008" s="212"/>
    </row>
    <row r="4009" spans="2:7" ht="17" thickBot="1" x14ac:dyDescent="0.25">
      <c r="B4009" s="212"/>
      <c r="C4009" s="213"/>
      <c r="D4009" s="212"/>
      <c r="E4009" s="212"/>
      <c r="F4009" s="212"/>
      <c r="G4009" s="212"/>
    </row>
    <row r="4010" spans="2:7" ht="17" thickTop="1" x14ac:dyDescent="0.2">
      <c r="B4010" s="537" t="s">
        <v>179</v>
      </c>
      <c r="C4010" s="538"/>
      <c r="D4010" s="538"/>
      <c r="E4010" s="538"/>
      <c r="F4010" s="148"/>
      <c r="G4010" s="149" t="s">
        <v>608</v>
      </c>
    </row>
    <row r="4011" spans="2:7" x14ac:dyDescent="0.2">
      <c r="B4011" s="539"/>
      <c r="C4011" s="540"/>
      <c r="D4011" s="540"/>
      <c r="E4011" s="540"/>
      <c r="F4011" s="150"/>
      <c r="G4011" s="151" t="s">
        <v>477</v>
      </c>
    </row>
    <row r="4012" spans="2:7" x14ac:dyDescent="0.2">
      <c r="B4012" s="152" t="s">
        <v>1</v>
      </c>
      <c r="C4012" s="153" t="s">
        <v>2</v>
      </c>
      <c r="D4012" s="153" t="s">
        <v>3</v>
      </c>
      <c r="E4012" s="153" t="s">
        <v>441</v>
      </c>
      <c r="F4012" s="154" t="s">
        <v>442</v>
      </c>
      <c r="G4012" s="155" t="s">
        <v>443</v>
      </c>
    </row>
    <row r="4013" spans="2:7" x14ac:dyDescent="0.2">
      <c r="B4013" s="157"/>
      <c r="C4013" s="158"/>
      <c r="D4013" s="156"/>
      <c r="E4013" s="156"/>
      <c r="F4013" s="159"/>
      <c r="G4013" s="160"/>
    </row>
    <row r="4014" spans="2:7" x14ac:dyDescent="0.2">
      <c r="B4014" s="161" t="s">
        <v>444</v>
      </c>
      <c r="C4014" s="158"/>
      <c r="D4014" s="156"/>
      <c r="E4014" s="156"/>
      <c r="F4014" s="159"/>
      <c r="G4014" s="160"/>
    </row>
    <row r="4015" spans="2:7" x14ac:dyDescent="0.2">
      <c r="B4015" s="236"/>
      <c r="C4015" s="185"/>
      <c r="D4015" s="181"/>
      <c r="E4015" s="186"/>
      <c r="F4015" s="222"/>
      <c r="G4015" s="237"/>
    </row>
    <row r="4016" spans="2:7" x14ac:dyDescent="0.2">
      <c r="B4016" s="157"/>
      <c r="C4016" s="158"/>
      <c r="D4016" s="156"/>
      <c r="E4016" s="156"/>
      <c r="F4016" s="159" t="s">
        <v>446</v>
      </c>
      <c r="G4016" s="183" t="s">
        <v>465</v>
      </c>
    </row>
    <row r="4017" spans="2:7" x14ac:dyDescent="0.2">
      <c r="B4017" s="379" t="s">
        <v>447</v>
      </c>
      <c r="C4017" s="158" t="s">
        <v>588</v>
      </c>
      <c r="D4017" s="158" t="s">
        <v>589</v>
      </c>
      <c r="E4017" s="158" t="s">
        <v>590</v>
      </c>
      <c r="F4017" s="380" t="s">
        <v>591</v>
      </c>
      <c r="G4017" s="381" t="s">
        <v>592</v>
      </c>
    </row>
    <row r="4018" spans="2:7" x14ac:dyDescent="0.2">
      <c r="B4018" s="471" t="s">
        <v>583</v>
      </c>
      <c r="C4018" s="486">
        <v>314474</v>
      </c>
      <c r="D4018" s="181">
        <v>1.47</v>
      </c>
      <c r="E4018" s="396">
        <v>462276</v>
      </c>
      <c r="F4018" s="487">
        <v>3.3300000000000001E-3</v>
      </c>
      <c r="G4018" s="488">
        <v>1540.92</v>
      </c>
    </row>
    <row r="4019" spans="2:7" x14ac:dyDescent="0.2">
      <c r="B4019" s="475" t="s">
        <v>524</v>
      </c>
      <c r="C4019" s="486">
        <v>107474</v>
      </c>
      <c r="D4019" s="415">
        <v>1.47</v>
      </c>
      <c r="E4019" s="464">
        <v>157986</v>
      </c>
      <c r="F4019" s="490">
        <v>3.3300000000000001E-3</v>
      </c>
      <c r="G4019" s="502">
        <v>526.62</v>
      </c>
    </row>
    <row r="4020" spans="2:7" x14ac:dyDescent="0.2">
      <c r="B4020" s="475" t="s">
        <v>525</v>
      </c>
      <c r="C4020" s="486">
        <v>272540</v>
      </c>
      <c r="D4020" s="415">
        <v>1.47</v>
      </c>
      <c r="E4020" s="363">
        <v>400633</v>
      </c>
      <c r="F4020" s="491">
        <v>0</v>
      </c>
      <c r="G4020" s="502">
        <v>667.72</v>
      </c>
    </row>
    <row r="4021" spans="2:7" x14ac:dyDescent="0.2">
      <c r="B4021" s="180"/>
      <c r="C4021" s="185"/>
      <c r="D4021" s="181"/>
      <c r="E4021" s="170"/>
      <c r="F4021" s="222"/>
      <c r="G4021" s="230"/>
    </row>
    <row r="4022" spans="2:7" x14ac:dyDescent="0.2">
      <c r="B4022" s="157"/>
      <c r="C4022" s="158"/>
      <c r="D4022" s="156"/>
      <c r="E4022" s="156"/>
      <c r="F4022" s="159" t="s">
        <v>449</v>
      </c>
      <c r="G4022" s="183">
        <v>2735.26</v>
      </c>
    </row>
    <row r="4023" spans="2:7" x14ac:dyDescent="0.2">
      <c r="B4023" s="161" t="s">
        <v>450</v>
      </c>
      <c r="C4023" s="158"/>
      <c r="D4023" s="156"/>
      <c r="E4023" s="156"/>
      <c r="F4023" s="159"/>
      <c r="G4023" s="160"/>
    </row>
    <row r="4024" spans="2:7" x14ac:dyDescent="0.2">
      <c r="B4024" s="218" t="s">
        <v>551</v>
      </c>
      <c r="C4024" s="219" t="s">
        <v>2</v>
      </c>
      <c r="D4024" s="229"/>
      <c r="E4024" s="229"/>
      <c r="F4024" s="492">
        <v>1000</v>
      </c>
      <c r="G4024" s="221" t="s">
        <v>465</v>
      </c>
    </row>
    <row r="4025" spans="2:7" x14ac:dyDescent="0.2">
      <c r="B4025" s="152" t="s">
        <v>569</v>
      </c>
      <c r="C4025" s="219" t="s">
        <v>2</v>
      </c>
      <c r="D4025" s="229"/>
      <c r="E4025" s="229"/>
      <c r="F4025" s="492">
        <v>3700</v>
      </c>
      <c r="G4025" s="286" t="s">
        <v>465</v>
      </c>
    </row>
    <row r="4026" spans="2:7" x14ac:dyDescent="0.2">
      <c r="B4026" s="152" t="s">
        <v>552</v>
      </c>
      <c r="C4026" s="219" t="s">
        <v>2</v>
      </c>
      <c r="D4026" s="229"/>
      <c r="E4026" s="229"/>
      <c r="F4026" s="492">
        <v>1800</v>
      </c>
      <c r="G4026" s="286" t="s">
        <v>465</v>
      </c>
    </row>
    <row r="4027" spans="2:7" x14ac:dyDescent="0.2">
      <c r="B4027" s="180"/>
      <c r="C4027" s="185"/>
      <c r="D4027" s="181"/>
      <c r="E4027" s="186"/>
      <c r="F4027" s="222"/>
      <c r="G4027" s="230"/>
    </row>
    <row r="4028" spans="2:7" x14ac:dyDescent="0.2">
      <c r="B4028" s="157"/>
      <c r="C4028" s="158"/>
      <c r="D4028" s="156"/>
      <c r="E4028" s="156"/>
      <c r="F4028" s="159" t="s">
        <v>452</v>
      </c>
      <c r="G4028" s="183" t="s">
        <v>465</v>
      </c>
    </row>
    <row r="4029" spans="2:7" x14ac:dyDescent="0.2">
      <c r="B4029" s="161" t="s">
        <v>453</v>
      </c>
      <c r="C4029" s="158"/>
      <c r="D4029" s="156"/>
      <c r="E4029" s="156"/>
      <c r="F4029" s="159"/>
      <c r="G4029" s="160"/>
    </row>
    <row r="4030" spans="2:7" x14ac:dyDescent="0.2">
      <c r="B4030" s="218" t="s">
        <v>626</v>
      </c>
      <c r="C4030" s="219" t="s">
        <v>286</v>
      </c>
      <c r="D4030" s="229"/>
      <c r="E4030" s="229"/>
      <c r="F4030" s="470">
        <v>112200</v>
      </c>
      <c r="G4030" s="221" t="s">
        <v>465</v>
      </c>
    </row>
    <row r="4031" spans="2:7" x14ac:dyDescent="0.2">
      <c r="B4031" s="152" t="s">
        <v>642</v>
      </c>
      <c r="C4031" s="219" t="s">
        <v>286</v>
      </c>
      <c r="D4031" s="229"/>
      <c r="E4031" s="229"/>
      <c r="F4031" s="470">
        <v>17360</v>
      </c>
      <c r="G4031" s="286" t="s">
        <v>465</v>
      </c>
    </row>
    <row r="4032" spans="2:7" x14ac:dyDescent="0.2">
      <c r="B4032" s="180"/>
      <c r="C4032" s="185"/>
      <c r="D4032" s="181"/>
      <c r="E4032" s="186"/>
      <c r="F4032" s="222"/>
      <c r="G4032" s="230"/>
    </row>
    <row r="4033" spans="2:7" x14ac:dyDescent="0.2">
      <c r="B4033" s="157"/>
      <c r="C4033" s="158"/>
      <c r="D4033" s="156"/>
      <c r="E4033" s="156"/>
      <c r="F4033" s="159" t="s">
        <v>459</v>
      </c>
      <c r="G4033" s="183" t="s">
        <v>465</v>
      </c>
    </row>
    <row r="4034" spans="2:7" x14ac:dyDescent="0.2">
      <c r="B4034" s="157"/>
      <c r="C4034" s="158"/>
      <c r="D4034" s="156"/>
      <c r="E4034" s="156"/>
      <c r="F4034" s="159"/>
      <c r="G4034" s="160"/>
    </row>
    <row r="4035" spans="2:7" ht="17" thickBot="1" x14ac:dyDescent="0.25">
      <c r="B4035" s="206"/>
      <c r="C4035" s="207"/>
      <c r="D4035" s="208"/>
      <c r="E4035" s="209" t="s">
        <v>460</v>
      </c>
      <c r="F4035" s="210">
        <v>1572230.69</v>
      </c>
      <c r="G4035" s="211">
        <v>2735</v>
      </c>
    </row>
    <row r="4036" spans="2:7" ht="17" thickTop="1" x14ac:dyDescent="0.2">
      <c r="B4036" s="212"/>
      <c r="C4036" s="213"/>
      <c r="D4036" s="212"/>
      <c r="E4036" s="212"/>
      <c r="F4036" s="212"/>
      <c r="G4036" s="212"/>
    </row>
    <row r="4037" spans="2:7" ht="17" thickBot="1" x14ac:dyDescent="0.25">
      <c r="B4037" s="212"/>
      <c r="C4037" s="213"/>
      <c r="D4037" s="212"/>
      <c r="E4037" s="212"/>
      <c r="F4037" s="212"/>
      <c r="G4037" s="212"/>
    </row>
    <row r="4038" spans="2:7" ht="17" thickTop="1" x14ac:dyDescent="0.2">
      <c r="B4038" s="537" t="s">
        <v>180</v>
      </c>
      <c r="C4038" s="538"/>
      <c r="D4038" s="538"/>
      <c r="E4038" s="538"/>
      <c r="F4038" s="148"/>
      <c r="G4038" s="149" t="s">
        <v>608</v>
      </c>
    </row>
    <row r="4039" spans="2:7" x14ac:dyDescent="0.2">
      <c r="B4039" s="539"/>
      <c r="C4039" s="540"/>
      <c r="D4039" s="540"/>
      <c r="E4039" s="540"/>
      <c r="F4039" s="150"/>
      <c r="G4039" s="151" t="s">
        <v>477</v>
      </c>
    </row>
    <row r="4040" spans="2:7" x14ac:dyDescent="0.2">
      <c r="B4040" s="152" t="s">
        <v>1</v>
      </c>
      <c r="C4040" s="153" t="s">
        <v>2</v>
      </c>
      <c r="D4040" s="153" t="s">
        <v>3</v>
      </c>
      <c r="E4040" s="153" t="s">
        <v>441</v>
      </c>
      <c r="F4040" s="154" t="s">
        <v>442</v>
      </c>
      <c r="G4040" s="155" t="s">
        <v>443</v>
      </c>
    </row>
    <row r="4041" spans="2:7" x14ac:dyDescent="0.2">
      <c r="B4041" s="157"/>
      <c r="C4041" s="158"/>
      <c r="D4041" s="156"/>
      <c r="E4041" s="156"/>
      <c r="F4041" s="159"/>
      <c r="G4041" s="160"/>
    </row>
    <row r="4042" spans="2:7" x14ac:dyDescent="0.2">
      <c r="B4042" s="161" t="s">
        <v>444</v>
      </c>
      <c r="C4042" s="158"/>
      <c r="D4042" s="156"/>
      <c r="E4042" s="156"/>
      <c r="F4042" s="159"/>
      <c r="G4042" s="160"/>
    </row>
    <row r="4043" spans="2:7" x14ac:dyDescent="0.2">
      <c r="B4043" s="236"/>
      <c r="C4043" s="185"/>
      <c r="D4043" s="181"/>
      <c r="E4043" s="186"/>
      <c r="F4043" s="222"/>
      <c r="G4043" s="237"/>
    </row>
    <row r="4044" spans="2:7" x14ac:dyDescent="0.2">
      <c r="B4044" s="157"/>
      <c r="C4044" s="158"/>
      <c r="D4044" s="156"/>
      <c r="E4044" s="156"/>
      <c r="F4044" s="159" t="s">
        <v>446</v>
      </c>
      <c r="G4044" s="183" t="s">
        <v>465</v>
      </c>
    </row>
    <row r="4045" spans="2:7" x14ac:dyDescent="0.2">
      <c r="B4045" s="379" t="s">
        <v>447</v>
      </c>
      <c r="C4045" s="158" t="s">
        <v>588</v>
      </c>
      <c r="D4045" s="158" t="s">
        <v>589</v>
      </c>
      <c r="E4045" s="158" t="s">
        <v>590</v>
      </c>
      <c r="F4045" s="380" t="s">
        <v>591</v>
      </c>
      <c r="G4045" s="381" t="s">
        <v>592</v>
      </c>
    </row>
    <row r="4046" spans="2:7" x14ac:dyDescent="0.2">
      <c r="B4046" s="471" t="s">
        <v>523</v>
      </c>
      <c r="C4046" s="486">
        <v>401056</v>
      </c>
      <c r="D4046" s="181">
        <v>1.47</v>
      </c>
      <c r="E4046" s="396">
        <v>589552</v>
      </c>
      <c r="F4046" s="487">
        <v>2.5000000000000001E-3</v>
      </c>
      <c r="G4046" s="488">
        <v>1473.88</v>
      </c>
    </row>
    <row r="4047" spans="2:7" x14ac:dyDescent="0.2">
      <c r="B4047" s="475" t="s">
        <v>524</v>
      </c>
      <c r="C4047" s="486">
        <v>107474</v>
      </c>
      <c r="D4047" s="415">
        <v>1.47</v>
      </c>
      <c r="E4047" s="464">
        <v>157986</v>
      </c>
      <c r="F4047" s="490">
        <v>2.5000000000000001E-3</v>
      </c>
      <c r="G4047" s="502">
        <v>394.97</v>
      </c>
    </row>
    <row r="4048" spans="2:7" x14ac:dyDescent="0.2">
      <c r="B4048" s="475" t="s">
        <v>525</v>
      </c>
      <c r="C4048" s="486">
        <v>272540</v>
      </c>
      <c r="D4048" s="415">
        <v>1.47</v>
      </c>
      <c r="E4048" s="363">
        <v>400633</v>
      </c>
      <c r="F4048" s="491">
        <v>0</v>
      </c>
      <c r="G4048" s="502">
        <v>500.79</v>
      </c>
    </row>
    <row r="4049" spans="2:7" x14ac:dyDescent="0.2">
      <c r="B4049" s="180"/>
      <c r="C4049" s="185"/>
      <c r="D4049" s="181"/>
      <c r="E4049" s="170"/>
      <c r="F4049" s="222"/>
      <c r="G4049" s="230"/>
    </row>
    <row r="4050" spans="2:7" x14ac:dyDescent="0.2">
      <c r="B4050" s="157"/>
      <c r="C4050" s="158"/>
      <c r="D4050" s="156"/>
      <c r="E4050" s="156"/>
      <c r="F4050" s="159" t="s">
        <v>449</v>
      </c>
      <c r="G4050" s="183">
        <v>2369.64</v>
      </c>
    </row>
    <row r="4051" spans="2:7" x14ac:dyDescent="0.2">
      <c r="B4051" s="161" t="s">
        <v>450</v>
      </c>
      <c r="C4051" s="158"/>
      <c r="D4051" s="156"/>
      <c r="E4051" s="156"/>
      <c r="F4051" s="159"/>
      <c r="G4051" s="160"/>
    </row>
    <row r="4052" spans="2:7" x14ac:dyDescent="0.2">
      <c r="B4052" s="218" t="s">
        <v>551</v>
      </c>
      <c r="C4052" s="219" t="s">
        <v>2</v>
      </c>
      <c r="D4052" s="229"/>
      <c r="E4052" s="229"/>
      <c r="F4052" s="492">
        <v>1000</v>
      </c>
      <c r="G4052" s="221" t="s">
        <v>465</v>
      </c>
    </row>
    <row r="4053" spans="2:7" x14ac:dyDescent="0.2">
      <c r="B4053" s="152" t="s">
        <v>569</v>
      </c>
      <c r="C4053" s="219" t="s">
        <v>2</v>
      </c>
      <c r="D4053" s="229"/>
      <c r="E4053" s="229"/>
      <c r="F4053" s="492">
        <v>3700</v>
      </c>
      <c r="G4053" s="286" t="s">
        <v>465</v>
      </c>
    </row>
    <row r="4054" spans="2:7" x14ac:dyDescent="0.2">
      <c r="B4054" s="152" t="s">
        <v>552</v>
      </c>
      <c r="C4054" s="219" t="s">
        <v>2</v>
      </c>
      <c r="D4054" s="229"/>
      <c r="E4054" s="229"/>
      <c r="F4054" s="492">
        <v>1800</v>
      </c>
      <c r="G4054" s="286" t="s">
        <v>465</v>
      </c>
    </row>
    <row r="4055" spans="2:7" x14ac:dyDescent="0.2">
      <c r="B4055" s="180"/>
      <c r="C4055" s="185"/>
      <c r="D4055" s="181"/>
      <c r="E4055" s="186"/>
      <c r="F4055" s="222"/>
      <c r="G4055" s="230"/>
    </row>
    <row r="4056" spans="2:7" x14ac:dyDescent="0.2">
      <c r="B4056" s="157"/>
      <c r="C4056" s="158"/>
      <c r="D4056" s="156"/>
      <c r="E4056" s="156"/>
      <c r="F4056" s="159" t="s">
        <v>452</v>
      </c>
      <c r="G4056" s="183" t="s">
        <v>465</v>
      </c>
    </row>
    <row r="4057" spans="2:7" x14ac:dyDescent="0.2">
      <c r="B4057" s="161" t="s">
        <v>453</v>
      </c>
      <c r="C4057" s="158"/>
      <c r="D4057" s="156"/>
      <c r="E4057" s="156"/>
      <c r="F4057" s="159"/>
      <c r="G4057" s="160"/>
    </row>
    <row r="4058" spans="2:7" x14ac:dyDescent="0.2">
      <c r="B4058" s="218" t="s">
        <v>626</v>
      </c>
      <c r="C4058" s="219" t="s">
        <v>286</v>
      </c>
      <c r="D4058" s="229"/>
      <c r="E4058" s="229"/>
      <c r="F4058" s="470">
        <v>112200</v>
      </c>
      <c r="G4058" s="221" t="s">
        <v>465</v>
      </c>
    </row>
    <row r="4059" spans="2:7" x14ac:dyDescent="0.2">
      <c r="B4059" s="152" t="s">
        <v>642</v>
      </c>
      <c r="C4059" s="219" t="s">
        <v>286</v>
      </c>
      <c r="D4059" s="229"/>
      <c r="E4059" s="229"/>
      <c r="F4059" s="470">
        <v>17360</v>
      </c>
      <c r="G4059" s="286" t="s">
        <v>465</v>
      </c>
    </row>
    <row r="4060" spans="2:7" x14ac:dyDescent="0.2">
      <c r="B4060" s="180"/>
      <c r="C4060" s="185"/>
      <c r="D4060" s="181"/>
      <c r="E4060" s="186"/>
      <c r="F4060" s="222"/>
      <c r="G4060" s="230"/>
    </row>
    <row r="4061" spans="2:7" x14ac:dyDescent="0.2">
      <c r="B4061" s="157"/>
      <c r="C4061" s="158"/>
      <c r="D4061" s="156"/>
      <c r="E4061" s="156"/>
      <c r="F4061" s="159" t="s">
        <v>459</v>
      </c>
      <c r="G4061" s="183" t="s">
        <v>465</v>
      </c>
    </row>
    <row r="4062" spans="2:7" x14ac:dyDescent="0.2">
      <c r="B4062" s="157"/>
      <c r="C4062" s="158"/>
      <c r="D4062" s="156"/>
      <c r="E4062" s="156"/>
      <c r="F4062" s="159"/>
      <c r="G4062" s="160"/>
    </row>
    <row r="4063" spans="2:7" ht="17" thickBot="1" x14ac:dyDescent="0.25">
      <c r="B4063" s="206"/>
      <c r="C4063" s="207"/>
      <c r="D4063" s="208"/>
      <c r="E4063" s="209" t="s">
        <v>460</v>
      </c>
      <c r="F4063" s="210">
        <v>1343663.58</v>
      </c>
      <c r="G4063" s="211">
        <v>2370</v>
      </c>
    </row>
    <row r="4064" spans="2:7" ht="17" thickTop="1" x14ac:dyDescent="0.2">
      <c r="B4064" s="212"/>
      <c r="C4064" s="213"/>
      <c r="D4064" s="212"/>
      <c r="E4064" s="212"/>
      <c r="F4064" s="212"/>
      <c r="G4064" s="212"/>
    </row>
    <row r="4065" spans="2:7" ht="17" thickBot="1" x14ac:dyDescent="0.25">
      <c r="B4065" s="212"/>
      <c r="C4065" s="213"/>
      <c r="D4065" s="212"/>
      <c r="E4065" s="212"/>
      <c r="F4065" s="212"/>
      <c r="G4065" s="212"/>
    </row>
    <row r="4066" spans="2:7" ht="17" thickTop="1" x14ac:dyDescent="0.2">
      <c r="B4066" s="537" t="s">
        <v>181</v>
      </c>
      <c r="C4066" s="538"/>
      <c r="D4066" s="538"/>
      <c r="E4066" s="538"/>
      <c r="F4066" s="148"/>
      <c r="G4066" s="149" t="s">
        <v>608</v>
      </c>
    </row>
    <row r="4067" spans="2:7" x14ac:dyDescent="0.2">
      <c r="B4067" s="539"/>
      <c r="C4067" s="540"/>
      <c r="D4067" s="540"/>
      <c r="E4067" s="540"/>
      <c r="F4067" s="150"/>
      <c r="G4067" s="151" t="s">
        <v>477</v>
      </c>
    </row>
    <row r="4068" spans="2:7" x14ac:dyDescent="0.2">
      <c r="B4068" s="152" t="s">
        <v>1</v>
      </c>
      <c r="C4068" s="153" t="s">
        <v>2</v>
      </c>
      <c r="D4068" s="153" t="s">
        <v>3</v>
      </c>
      <c r="E4068" s="153" t="s">
        <v>441</v>
      </c>
      <c r="F4068" s="154" t="s">
        <v>442</v>
      </c>
      <c r="G4068" s="155" t="s">
        <v>443</v>
      </c>
    </row>
    <row r="4069" spans="2:7" x14ac:dyDescent="0.2">
      <c r="B4069" s="157"/>
      <c r="C4069" s="158"/>
      <c r="D4069" s="156"/>
      <c r="E4069" s="156"/>
      <c r="F4069" s="159"/>
      <c r="G4069" s="160"/>
    </row>
    <row r="4070" spans="2:7" x14ac:dyDescent="0.2">
      <c r="B4070" s="161" t="s">
        <v>444</v>
      </c>
      <c r="C4070" s="158"/>
      <c r="D4070" s="156"/>
      <c r="E4070" s="156"/>
      <c r="F4070" s="159"/>
      <c r="G4070" s="160"/>
    </row>
    <row r="4071" spans="2:7" x14ac:dyDescent="0.2">
      <c r="B4071" s="236"/>
      <c r="C4071" s="185"/>
      <c r="D4071" s="181"/>
      <c r="E4071" s="186"/>
      <c r="F4071" s="222"/>
      <c r="G4071" s="237"/>
    </row>
    <row r="4072" spans="2:7" x14ac:dyDescent="0.2">
      <c r="B4072" s="157"/>
      <c r="C4072" s="158"/>
      <c r="D4072" s="156"/>
      <c r="E4072" s="156"/>
      <c r="F4072" s="159" t="s">
        <v>446</v>
      </c>
      <c r="G4072" s="183" t="s">
        <v>465</v>
      </c>
    </row>
    <row r="4073" spans="2:7" x14ac:dyDescent="0.2">
      <c r="B4073" s="379" t="s">
        <v>447</v>
      </c>
      <c r="C4073" s="158" t="s">
        <v>588</v>
      </c>
      <c r="D4073" s="158" t="s">
        <v>589</v>
      </c>
      <c r="E4073" s="158" t="s">
        <v>590</v>
      </c>
      <c r="F4073" s="380" t="s">
        <v>591</v>
      </c>
      <c r="G4073" s="381" t="s">
        <v>592</v>
      </c>
    </row>
    <row r="4074" spans="2:7" x14ac:dyDescent="0.2">
      <c r="B4074" s="471" t="s">
        <v>643</v>
      </c>
      <c r="C4074" s="486">
        <v>496859</v>
      </c>
      <c r="D4074" s="181">
        <v>1.47</v>
      </c>
      <c r="E4074" s="396">
        <v>730381</v>
      </c>
      <c r="F4074" s="487">
        <v>2E-3</v>
      </c>
      <c r="G4074" s="488">
        <v>1460.76</v>
      </c>
    </row>
    <row r="4075" spans="2:7" x14ac:dyDescent="0.2">
      <c r="B4075" s="475" t="s">
        <v>524</v>
      </c>
      <c r="C4075" s="486">
        <v>107474</v>
      </c>
      <c r="D4075" s="415">
        <v>1.47</v>
      </c>
      <c r="E4075" s="464">
        <v>157986</v>
      </c>
      <c r="F4075" s="490">
        <v>2E-3</v>
      </c>
      <c r="G4075" s="502">
        <v>315.97000000000003</v>
      </c>
    </row>
    <row r="4076" spans="2:7" x14ac:dyDescent="0.2">
      <c r="B4076" s="475" t="s">
        <v>525</v>
      </c>
      <c r="C4076" s="486">
        <v>272540</v>
      </c>
      <c r="D4076" s="415">
        <v>1.47</v>
      </c>
      <c r="E4076" s="363">
        <v>400633</v>
      </c>
      <c r="F4076" s="490">
        <v>1E-3</v>
      </c>
      <c r="G4076" s="502">
        <v>400.63</v>
      </c>
    </row>
    <row r="4077" spans="2:7" x14ac:dyDescent="0.2">
      <c r="B4077" s="180"/>
      <c r="C4077" s="185"/>
      <c r="D4077" s="181"/>
      <c r="E4077" s="170"/>
      <c r="F4077" s="222"/>
      <c r="G4077" s="230"/>
    </row>
    <row r="4078" spans="2:7" x14ac:dyDescent="0.2">
      <c r="B4078" s="157"/>
      <c r="C4078" s="158"/>
      <c r="D4078" s="156"/>
      <c r="E4078" s="156"/>
      <c r="F4078" s="159" t="s">
        <v>449</v>
      </c>
      <c r="G4078" s="183">
        <v>2177.37</v>
      </c>
    </row>
    <row r="4079" spans="2:7" x14ac:dyDescent="0.2">
      <c r="B4079" s="161" t="s">
        <v>450</v>
      </c>
      <c r="C4079" s="158"/>
      <c r="D4079" s="156"/>
      <c r="E4079" s="156"/>
      <c r="F4079" s="159"/>
      <c r="G4079" s="160"/>
    </row>
    <row r="4080" spans="2:7" x14ac:dyDescent="0.2">
      <c r="B4080" s="218" t="s">
        <v>551</v>
      </c>
      <c r="C4080" s="219" t="s">
        <v>2</v>
      </c>
      <c r="D4080" s="229"/>
      <c r="E4080" s="229"/>
      <c r="F4080" s="492">
        <v>1000</v>
      </c>
      <c r="G4080" s="221" t="s">
        <v>465</v>
      </c>
    </row>
    <row r="4081" spans="2:7" x14ac:dyDescent="0.2">
      <c r="B4081" s="152" t="s">
        <v>569</v>
      </c>
      <c r="C4081" s="219" t="s">
        <v>2</v>
      </c>
      <c r="D4081" s="229"/>
      <c r="E4081" s="229"/>
      <c r="F4081" s="492">
        <v>3700</v>
      </c>
      <c r="G4081" s="286" t="s">
        <v>465</v>
      </c>
    </row>
    <row r="4082" spans="2:7" x14ac:dyDescent="0.2">
      <c r="B4082" s="152" t="s">
        <v>552</v>
      </c>
      <c r="C4082" s="219" t="s">
        <v>2</v>
      </c>
      <c r="D4082" s="229"/>
      <c r="E4082" s="229"/>
      <c r="F4082" s="492">
        <v>1800</v>
      </c>
      <c r="G4082" s="286" t="s">
        <v>465</v>
      </c>
    </row>
    <row r="4083" spans="2:7" x14ac:dyDescent="0.2">
      <c r="B4083" s="180"/>
      <c r="C4083" s="185"/>
      <c r="D4083" s="181"/>
      <c r="E4083" s="186"/>
      <c r="F4083" s="222"/>
      <c r="G4083" s="230"/>
    </row>
    <row r="4084" spans="2:7" x14ac:dyDescent="0.2">
      <c r="B4084" s="157"/>
      <c r="C4084" s="158"/>
      <c r="D4084" s="156"/>
      <c r="E4084" s="156"/>
      <c r="F4084" s="159" t="s">
        <v>452</v>
      </c>
      <c r="G4084" s="183" t="s">
        <v>465</v>
      </c>
    </row>
    <row r="4085" spans="2:7" x14ac:dyDescent="0.2">
      <c r="B4085" s="161" t="s">
        <v>453</v>
      </c>
      <c r="C4085" s="158"/>
      <c r="D4085" s="156"/>
      <c r="E4085" s="156"/>
      <c r="F4085" s="159"/>
      <c r="G4085" s="160"/>
    </row>
    <row r="4086" spans="2:7" x14ac:dyDescent="0.2">
      <c r="B4086" s="218" t="s">
        <v>626</v>
      </c>
      <c r="C4086" s="219" t="s">
        <v>286</v>
      </c>
      <c r="D4086" s="229"/>
      <c r="E4086" s="229"/>
      <c r="F4086" s="470">
        <v>112200</v>
      </c>
      <c r="G4086" s="221" t="s">
        <v>465</v>
      </c>
    </row>
    <row r="4087" spans="2:7" x14ac:dyDescent="0.2">
      <c r="B4087" s="152" t="s">
        <v>642</v>
      </c>
      <c r="C4087" s="219" t="s">
        <v>286</v>
      </c>
      <c r="D4087" s="229"/>
      <c r="E4087" s="229"/>
      <c r="F4087" s="470">
        <v>17360</v>
      </c>
      <c r="G4087" s="286" t="s">
        <v>465</v>
      </c>
    </row>
    <row r="4088" spans="2:7" x14ac:dyDescent="0.2">
      <c r="B4088" s="180"/>
      <c r="C4088" s="185"/>
      <c r="D4088" s="181"/>
      <c r="E4088" s="186"/>
      <c r="F4088" s="222"/>
      <c r="G4088" s="230"/>
    </row>
    <row r="4089" spans="2:7" x14ac:dyDescent="0.2">
      <c r="B4089" s="157"/>
      <c r="C4089" s="158"/>
      <c r="D4089" s="156"/>
      <c r="E4089" s="156"/>
      <c r="F4089" s="159" t="s">
        <v>459</v>
      </c>
      <c r="G4089" s="183" t="s">
        <v>465</v>
      </c>
    </row>
    <row r="4090" spans="2:7" x14ac:dyDescent="0.2">
      <c r="B4090" s="157"/>
      <c r="C4090" s="158"/>
      <c r="D4090" s="156"/>
      <c r="E4090" s="156"/>
      <c r="F4090" s="159"/>
      <c r="G4090" s="160"/>
    </row>
    <row r="4091" spans="2:7" ht="17" thickBot="1" x14ac:dyDescent="0.25">
      <c r="B4091" s="206"/>
      <c r="C4091" s="207"/>
      <c r="D4091" s="208"/>
      <c r="E4091" s="209" t="s">
        <v>460</v>
      </c>
      <c r="F4091" s="210">
        <v>1000140.2</v>
      </c>
      <c r="G4091" s="211">
        <v>2177</v>
      </c>
    </row>
    <row r="4092" spans="2:7" ht="17" thickTop="1" x14ac:dyDescent="0.2">
      <c r="B4092" s="212"/>
      <c r="C4092" s="213"/>
      <c r="D4092" s="212"/>
      <c r="E4092" s="212"/>
      <c r="F4092" s="212"/>
      <c r="G4092" s="212"/>
    </row>
    <row r="4093" spans="2:7" ht="17" thickBot="1" x14ac:dyDescent="0.25">
      <c r="B4093" s="212"/>
      <c r="C4093" s="213"/>
      <c r="D4093" s="212"/>
      <c r="E4093" s="212"/>
      <c r="F4093" s="212"/>
      <c r="G4093" s="212"/>
    </row>
    <row r="4094" spans="2:7" ht="17" thickTop="1" x14ac:dyDescent="0.2">
      <c r="B4094" s="537" t="s">
        <v>182</v>
      </c>
      <c r="C4094" s="538"/>
      <c r="D4094" s="538"/>
      <c r="E4094" s="538"/>
      <c r="F4094" s="148"/>
      <c r="G4094" s="149" t="s">
        <v>608</v>
      </c>
    </row>
    <row r="4095" spans="2:7" x14ac:dyDescent="0.2">
      <c r="B4095" s="539"/>
      <c r="C4095" s="540"/>
      <c r="D4095" s="540"/>
      <c r="E4095" s="540"/>
      <c r="F4095" s="150"/>
      <c r="G4095" s="151" t="s">
        <v>477</v>
      </c>
    </row>
    <row r="4096" spans="2:7" x14ac:dyDescent="0.2">
      <c r="B4096" s="152" t="s">
        <v>1</v>
      </c>
      <c r="C4096" s="153" t="s">
        <v>2</v>
      </c>
      <c r="D4096" s="153" t="s">
        <v>3</v>
      </c>
      <c r="E4096" s="153" t="s">
        <v>441</v>
      </c>
      <c r="F4096" s="154" t="s">
        <v>442</v>
      </c>
      <c r="G4096" s="155" t="s">
        <v>443</v>
      </c>
    </row>
    <row r="4097" spans="2:7" x14ac:dyDescent="0.2">
      <c r="B4097" s="157"/>
      <c r="C4097" s="158"/>
      <c r="D4097" s="156"/>
      <c r="E4097" s="156"/>
      <c r="F4097" s="159"/>
      <c r="G4097" s="160"/>
    </row>
    <row r="4098" spans="2:7" x14ac:dyDescent="0.2">
      <c r="B4098" s="161" t="s">
        <v>444</v>
      </c>
      <c r="C4098" s="158"/>
      <c r="D4098" s="156"/>
      <c r="E4098" s="156"/>
      <c r="F4098" s="159"/>
      <c r="G4098" s="160"/>
    </row>
    <row r="4099" spans="2:7" x14ac:dyDescent="0.2">
      <c r="B4099" s="236"/>
      <c r="C4099" s="185"/>
      <c r="D4099" s="181"/>
      <c r="E4099" s="186"/>
      <c r="F4099" s="222"/>
      <c r="G4099" s="237"/>
    </row>
    <row r="4100" spans="2:7" x14ac:dyDescent="0.2">
      <c r="B4100" s="157"/>
      <c r="C4100" s="158"/>
      <c r="D4100" s="156"/>
      <c r="E4100" s="156"/>
      <c r="F4100" s="159" t="s">
        <v>446</v>
      </c>
      <c r="G4100" s="183" t="s">
        <v>465</v>
      </c>
    </row>
    <row r="4101" spans="2:7" x14ac:dyDescent="0.2">
      <c r="B4101" s="379" t="s">
        <v>447</v>
      </c>
      <c r="C4101" s="158" t="s">
        <v>588</v>
      </c>
      <c r="D4101" s="158" t="s">
        <v>589</v>
      </c>
      <c r="E4101" s="158" t="s">
        <v>590</v>
      </c>
      <c r="F4101" s="380" t="s">
        <v>591</v>
      </c>
      <c r="G4101" s="381" t="s">
        <v>592</v>
      </c>
    </row>
    <row r="4102" spans="2:7" x14ac:dyDescent="0.2">
      <c r="B4102" s="471" t="s">
        <v>644</v>
      </c>
      <c r="C4102" s="486">
        <v>691366</v>
      </c>
      <c r="D4102" s="181">
        <v>1.47</v>
      </c>
      <c r="E4102" s="396">
        <v>1016308</v>
      </c>
      <c r="F4102" s="487">
        <v>1.4300000000000001E-3</v>
      </c>
      <c r="G4102" s="488">
        <v>1451.87</v>
      </c>
    </row>
    <row r="4103" spans="2:7" x14ac:dyDescent="0.2">
      <c r="B4103" s="475" t="s">
        <v>524</v>
      </c>
      <c r="C4103" s="486">
        <v>107474</v>
      </c>
      <c r="D4103" s="415">
        <v>1.47</v>
      </c>
      <c r="E4103" s="464">
        <v>157986</v>
      </c>
      <c r="F4103" s="490">
        <v>1.4300000000000001E-3</v>
      </c>
      <c r="G4103" s="502">
        <v>225.69</v>
      </c>
    </row>
    <row r="4104" spans="2:7" x14ac:dyDescent="0.2">
      <c r="B4104" s="475" t="s">
        <v>525</v>
      </c>
      <c r="C4104" s="486">
        <v>272540</v>
      </c>
      <c r="D4104" s="415">
        <v>1.47</v>
      </c>
      <c r="E4104" s="363">
        <v>400633</v>
      </c>
      <c r="F4104" s="491">
        <v>0</v>
      </c>
      <c r="G4104" s="502">
        <v>286.17</v>
      </c>
    </row>
    <row r="4105" spans="2:7" x14ac:dyDescent="0.2">
      <c r="B4105" s="180"/>
      <c r="C4105" s="185"/>
      <c r="D4105" s="181"/>
      <c r="E4105" s="170"/>
      <c r="F4105" s="222"/>
      <c r="G4105" s="230"/>
    </row>
    <row r="4106" spans="2:7" x14ac:dyDescent="0.2">
      <c r="B4106" s="157"/>
      <c r="C4106" s="158"/>
      <c r="D4106" s="156"/>
      <c r="E4106" s="156"/>
      <c r="F4106" s="159" t="s">
        <v>449</v>
      </c>
      <c r="G4106" s="183">
        <v>1963.73</v>
      </c>
    </row>
    <row r="4107" spans="2:7" x14ac:dyDescent="0.2">
      <c r="B4107" s="161" t="s">
        <v>450</v>
      </c>
      <c r="C4107" s="158"/>
      <c r="D4107" s="156"/>
      <c r="E4107" s="156"/>
      <c r="F4107" s="159"/>
      <c r="G4107" s="160"/>
    </row>
    <row r="4108" spans="2:7" x14ac:dyDescent="0.2">
      <c r="B4108" s="218" t="s">
        <v>551</v>
      </c>
      <c r="C4108" s="219" t="s">
        <v>2</v>
      </c>
      <c r="D4108" s="229"/>
      <c r="E4108" s="229"/>
      <c r="F4108" s="492">
        <v>1000</v>
      </c>
      <c r="G4108" s="221" t="s">
        <v>465</v>
      </c>
    </row>
    <row r="4109" spans="2:7" x14ac:dyDescent="0.2">
      <c r="B4109" s="152" t="s">
        <v>569</v>
      </c>
      <c r="C4109" s="219" t="s">
        <v>2</v>
      </c>
      <c r="D4109" s="229"/>
      <c r="E4109" s="229"/>
      <c r="F4109" s="492">
        <v>3700</v>
      </c>
      <c r="G4109" s="286" t="s">
        <v>465</v>
      </c>
    </row>
    <row r="4110" spans="2:7" x14ac:dyDescent="0.2">
      <c r="B4110" s="152" t="s">
        <v>552</v>
      </c>
      <c r="C4110" s="219" t="s">
        <v>2</v>
      </c>
      <c r="D4110" s="229"/>
      <c r="E4110" s="229"/>
      <c r="F4110" s="492">
        <v>1800</v>
      </c>
      <c r="G4110" s="286" t="s">
        <v>465</v>
      </c>
    </row>
    <row r="4111" spans="2:7" x14ac:dyDescent="0.2">
      <c r="B4111" s="180"/>
      <c r="C4111" s="185"/>
      <c r="D4111" s="181"/>
      <c r="E4111" s="186"/>
      <c r="F4111" s="222"/>
      <c r="G4111" s="230"/>
    </row>
    <row r="4112" spans="2:7" x14ac:dyDescent="0.2">
      <c r="B4112" s="157"/>
      <c r="C4112" s="158"/>
      <c r="D4112" s="156"/>
      <c r="E4112" s="156"/>
      <c r="F4112" s="159" t="s">
        <v>452</v>
      </c>
      <c r="G4112" s="183" t="s">
        <v>465</v>
      </c>
    </row>
    <row r="4113" spans="2:7" x14ac:dyDescent="0.2">
      <c r="B4113" s="161" t="s">
        <v>453</v>
      </c>
      <c r="C4113" s="158"/>
      <c r="D4113" s="156"/>
      <c r="E4113" s="156"/>
      <c r="F4113" s="159"/>
      <c r="G4113" s="160"/>
    </row>
    <row r="4114" spans="2:7" x14ac:dyDescent="0.2">
      <c r="B4114" s="218" t="s">
        <v>626</v>
      </c>
      <c r="C4114" s="219" t="s">
        <v>286</v>
      </c>
      <c r="D4114" s="229"/>
      <c r="E4114" s="229"/>
      <c r="F4114" s="470">
        <v>112200</v>
      </c>
      <c r="G4114" s="221" t="s">
        <v>465</v>
      </c>
    </row>
    <row r="4115" spans="2:7" x14ac:dyDescent="0.2">
      <c r="B4115" s="152" t="s">
        <v>642</v>
      </c>
      <c r="C4115" s="219" t="s">
        <v>286</v>
      </c>
      <c r="D4115" s="229"/>
      <c r="E4115" s="229"/>
      <c r="F4115" s="470">
        <v>17360</v>
      </c>
      <c r="G4115" s="286" t="s">
        <v>465</v>
      </c>
    </row>
    <row r="4116" spans="2:7" x14ac:dyDescent="0.2">
      <c r="B4116" s="180"/>
      <c r="C4116" s="185"/>
      <c r="D4116" s="181"/>
      <c r="E4116" s="186"/>
      <c r="F4116" s="222"/>
      <c r="G4116" s="230"/>
    </row>
    <row r="4117" spans="2:7" x14ac:dyDescent="0.2">
      <c r="B4117" s="157"/>
      <c r="C4117" s="158"/>
      <c r="D4117" s="156"/>
      <c r="E4117" s="156"/>
      <c r="F4117" s="159" t="s">
        <v>459</v>
      </c>
      <c r="G4117" s="183" t="s">
        <v>465</v>
      </c>
    </row>
    <row r="4118" spans="2:7" x14ac:dyDescent="0.2">
      <c r="B4118" s="157"/>
      <c r="C4118" s="158"/>
      <c r="D4118" s="156"/>
      <c r="E4118" s="156"/>
      <c r="F4118" s="159"/>
      <c r="G4118" s="160"/>
    </row>
    <row r="4119" spans="2:7" ht="17" thickBot="1" x14ac:dyDescent="0.25">
      <c r="B4119" s="206"/>
      <c r="C4119" s="207"/>
      <c r="D4119" s="208"/>
      <c r="E4119" s="209" t="s">
        <v>460</v>
      </c>
      <c r="F4119" s="210">
        <v>620556.5</v>
      </c>
      <c r="G4119" s="211">
        <v>1964</v>
      </c>
    </row>
    <row r="4120" spans="2:7" ht="17" thickTop="1" x14ac:dyDescent="0.2">
      <c r="B4120" s="212"/>
      <c r="C4120" s="213"/>
      <c r="D4120" s="212"/>
      <c r="E4120" s="212"/>
      <c r="F4120" s="212"/>
      <c r="G4120" s="212"/>
    </row>
    <row r="4121" spans="2:7" ht="17" thickBot="1" x14ac:dyDescent="0.25">
      <c r="B4121" s="212"/>
      <c r="C4121" s="213"/>
      <c r="D4121" s="212"/>
      <c r="E4121" s="212"/>
      <c r="F4121" s="212"/>
      <c r="G4121" s="212"/>
    </row>
    <row r="4122" spans="2:7" ht="17" thickTop="1" x14ac:dyDescent="0.2">
      <c r="B4122" s="537" t="s">
        <v>183</v>
      </c>
      <c r="C4122" s="538"/>
      <c r="D4122" s="538"/>
      <c r="E4122" s="538"/>
      <c r="F4122" s="148"/>
      <c r="G4122" s="149" t="s">
        <v>608</v>
      </c>
    </row>
    <row r="4123" spans="2:7" x14ac:dyDescent="0.2">
      <c r="B4123" s="539"/>
      <c r="C4123" s="540"/>
      <c r="D4123" s="540"/>
      <c r="E4123" s="540"/>
      <c r="F4123" s="150"/>
      <c r="G4123" s="151" t="s">
        <v>477</v>
      </c>
    </row>
    <row r="4124" spans="2:7" x14ac:dyDescent="0.2">
      <c r="B4124" s="152" t="s">
        <v>1</v>
      </c>
      <c r="C4124" s="153" t="s">
        <v>2</v>
      </c>
      <c r="D4124" s="153" t="s">
        <v>3</v>
      </c>
      <c r="E4124" s="153" t="s">
        <v>441</v>
      </c>
      <c r="F4124" s="154" t="s">
        <v>442</v>
      </c>
      <c r="G4124" s="155" t="s">
        <v>443</v>
      </c>
    </row>
    <row r="4125" spans="2:7" x14ac:dyDescent="0.2">
      <c r="B4125" s="157"/>
      <c r="C4125" s="158"/>
      <c r="D4125" s="156"/>
      <c r="E4125" s="156"/>
      <c r="F4125" s="159"/>
      <c r="G4125" s="160"/>
    </row>
    <row r="4126" spans="2:7" x14ac:dyDescent="0.2">
      <c r="B4126" s="161" t="s">
        <v>444</v>
      </c>
      <c r="C4126" s="158"/>
      <c r="D4126" s="156"/>
      <c r="E4126" s="156"/>
      <c r="F4126" s="159"/>
      <c r="G4126" s="160"/>
    </row>
    <row r="4127" spans="2:7" x14ac:dyDescent="0.2">
      <c r="B4127" s="236"/>
      <c r="C4127" s="185"/>
      <c r="D4127" s="181"/>
      <c r="E4127" s="186"/>
      <c r="F4127" s="222"/>
      <c r="G4127" s="237"/>
    </row>
    <row r="4128" spans="2:7" x14ac:dyDescent="0.2">
      <c r="B4128" s="157"/>
      <c r="C4128" s="158"/>
      <c r="D4128" s="156"/>
      <c r="E4128" s="156"/>
      <c r="F4128" s="159" t="s">
        <v>446</v>
      </c>
      <c r="G4128" s="183" t="s">
        <v>465</v>
      </c>
    </row>
    <row r="4129" spans="2:7" x14ac:dyDescent="0.2">
      <c r="B4129" s="379" t="s">
        <v>447</v>
      </c>
      <c r="C4129" s="158" t="s">
        <v>588</v>
      </c>
      <c r="D4129" s="158" t="s">
        <v>589</v>
      </c>
      <c r="E4129" s="158" t="s">
        <v>590</v>
      </c>
      <c r="F4129" s="380" t="s">
        <v>591</v>
      </c>
      <c r="G4129" s="381" t="s">
        <v>592</v>
      </c>
    </row>
    <row r="4130" spans="2:7" x14ac:dyDescent="0.2">
      <c r="B4130" s="471" t="s">
        <v>645</v>
      </c>
      <c r="C4130" s="486">
        <v>907136</v>
      </c>
      <c r="D4130" s="181">
        <v>1.47</v>
      </c>
      <c r="E4130" s="396">
        <v>1333489</v>
      </c>
      <c r="F4130" s="487">
        <v>1.1100000000000001E-3</v>
      </c>
      <c r="G4130" s="488">
        <v>1481.65</v>
      </c>
    </row>
    <row r="4131" spans="2:7" x14ac:dyDescent="0.2">
      <c r="B4131" s="475" t="s">
        <v>524</v>
      </c>
      <c r="C4131" s="486">
        <v>107474</v>
      </c>
      <c r="D4131" s="415">
        <v>1.47</v>
      </c>
      <c r="E4131" s="464">
        <v>157986</v>
      </c>
      <c r="F4131" s="490">
        <v>1.1100000000000001E-3</v>
      </c>
      <c r="G4131" s="502">
        <v>175.54</v>
      </c>
    </row>
    <row r="4132" spans="2:7" x14ac:dyDescent="0.2">
      <c r="B4132" s="475" t="s">
        <v>525</v>
      </c>
      <c r="C4132" s="486">
        <v>272540</v>
      </c>
      <c r="D4132" s="415">
        <v>1.47</v>
      </c>
      <c r="E4132" s="363">
        <v>400633</v>
      </c>
      <c r="F4132" s="491">
        <v>0</v>
      </c>
      <c r="G4132" s="502">
        <v>222.57</v>
      </c>
    </row>
    <row r="4133" spans="2:7" x14ac:dyDescent="0.2">
      <c r="B4133" s="180"/>
      <c r="C4133" s="185"/>
      <c r="D4133" s="181"/>
      <c r="E4133" s="170"/>
      <c r="F4133" s="222"/>
      <c r="G4133" s="230"/>
    </row>
    <row r="4134" spans="2:7" x14ac:dyDescent="0.2">
      <c r="B4134" s="157"/>
      <c r="C4134" s="158"/>
      <c r="D4134" s="156"/>
      <c r="E4134" s="156"/>
      <c r="F4134" s="159" t="s">
        <v>449</v>
      </c>
      <c r="G4134" s="183">
        <v>1879.77</v>
      </c>
    </row>
    <row r="4135" spans="2:7" x14ac:dyDescent="0.2">
      <c r="B4135" s="161" t="s">
        <v>450</v>
      </c>
      <c r="C4135" s="158"/>
      <c r="D4135" s="156"/>
      <c r="E4135" s="156"/>
      <c r="F4135" s="159"/>
      <c r="G4135" s="160"/>
    </row>
    <row r="4136" spans="2:7" x14ac:dyDescent="0.2">
      <c r="B4136" s="218" t="s">
        <v>551</v>
      </c>
      <c r="C4136" s="219" t="s">
        <v>2</v>
      </c>
      <c r="D4136" s="229"/>
      <c r="E4136" s="229"/>
      <c r="F4136" s="492">
        <v>1000</v>
      </c>
      <c r="G4136" s="221" t="s">
        <v>465</v>
      </c>
    </row>
    <row r="4137" spans="2:7" x14ac:dyDescent="0.2">
      <c r="B4137" s="152" t="s">
        <v>569</v>
      </c>
      <c r="C4137" s="219" t="s">
        <v>2</v>
      </c>
      <c r="D4137" s="229"/>
      <c r="E4137" s="229"/>
      <c r="F4137" s="492">
        <v>3700</v>
      </c>
      <c r="G4137" s="286" t="s">
        <v>465</v>
      </c>
    </row>
    <row r="4138" spans="2:7" x14ac:dyDescent="0.2">
      <c r="B4138" s="152" t="s">
        <v>552</v>
      </c>
      <c r="C4138" s="219" t="s">
        <v>2</v>
      </c>
      <c r="D4138" s="229"/>
      <c r="E4138" s="229"/>
      <c r="F4138" s="492">
        <v>1800</v>
      </c>
      <c r="G4138" s="286" t="s">
        <v>465</v>
      </c>
    </row>
    <row r="4139" spans="2:7" x14ac:dyDescent="0.2">
      <c r="B4139" s="180"/>
      <c r="C4139" s="185"/>
      <c r="D4139" s="181"/>
      <c r="E4139" s="186"/>
      <c r="F4139" s="222"/>
      <c r="G4139" s="230"/>
    </row>
    <row r="4140" spans="2:7" x14ac:dyDescent="0.2">
      <c r="B4140" s="157"/>
      <c r="C4140" s="158"/>
      <c r="D4140" s="156"/>
      <c r="E4140" s="156"/>
      <c r="F4140" s="159" t="s">
        <v>452</v>
      </c>
      <c r="G4140" s="183" t="s">
        <v>465</v>
      </c>
    </row>
    <row r="4141" spans="2:7" x14ac:dyDescent="0.2">
      <c r="B4141" s="161" t="s">
        <v>453</v>
      </c>
      <c r="C4141" s="158"/>
      <c r="D4141" s="156"/>
      <c r="E4141" s="156"/>
      <c r="F4141" s="159"/>
      <c r="G4141" s="160"/>
    </row>
    <row r="4142" spans="2:7" x14ac:dyDescent="0.2">
      <c r="B4142" s="218" t="s">
        <v>626</v>
      </c>
      <c r="C4142" s="219" t="s">
        <v>286</v>
      </c>
      <c r="D4142" s="229"/>
      <c r="E4142" s="229"/>
      <c r="F4142" s="470">
        <v>112200</v>
      </c>
      <c r="G4142" s="221" t="s">
        <v>465</v>
      </c>
    </row>
    <row r="4143" spans="2:7" x14ac:dyDescent="0.2">
      <c r="B4143" s="152" t="s">
        <v>642</v>
      </c>
      <c r="C4143" s="219" t="s">
        <v>286</v>
      </c>
      <c r="D4143" s="229"/>
      <c r="E4143" s="229"/>
      <c r="F4143" s="470">
        <v>17360</v>
      </c>
      <c r="G4143" s="286" t="s">
        <v>465</v>
      </c>
    </row>
    <row r="4144" spans="2:7" x14ac:dyDescent="0.2">
      <c r="B4144" s="180"/>
      <c r="C4144" s="185"/>
      <c r="D4144" s="181"/>
      <c r="E4144" s="186"/>
      <c r="F4144" s="222"/>
      <c r="G4144" s="230"/>
    </row>
    <row r="4145" spans="2:7" x14ac:dyDescent="0.2">
      <c r="B4145" s="157"/>
      <c r="C4145" s="158"/>
      <c r="D4145" s="156"/>
      <c r="E4145" s="156"/>
      <c r="F4145" s="159" t="s">
        <v>459</v>
      </c>
      <c r="G4145" s="183" t="s">
        <v>465</v>
      </c>
    </row>
    <row r="4146" spans="2:7" x14ac:dyDescent="0.2">
      <c r="B4146" s="157"/>
      <c r="C4146" s="158"/>
      <c r="D4146" s="156"/>
      <c r="E4146" s="156"/>
      <c r="F4146" s="159"/>
      <c r="G4146" s="160"/>
    </row>
    <row r="4147" spans="2:7" ht="17" thickBot="1" x14ac:dyDescent="0.25">
      <c r="B4147" s="206"/>
      <c r="C4147" s="207"/>
      <c r="D4147" s="208"/>
      <c r="E4147" s="209" t="s">
        <v>460</v>
      </c>
      <c r="F4147" s="210">
        <v>35486.550000000003</v>
      </c>
      <c r="G4147" s="211">
        <v>1880</v>
      </c>
    </row>
    <row r="4148" spans="2:7" ht="17" thickTop="1" x14ac:dyDescent="0.2">
      <c r="B4148" s="212"/>
      <c r="C4148" s="213"/>
      <c r="D4148" s="212"/>
      <c r="E4148" s="212"/>
      <c r="F4148" s="212"/>
      <c r="G4148" s="212"/>
    </row>
    <row r="4149" spans="2:7" x14ac:dyDescent="0.2">
      <c r="B4149" s="212"/>
      <c r="C4149" s="213"/>
      <c r="D4149" s="212"/>
      <c r="E4149" s="212"/>
      <c r="F4149" s="212"/>
      <c r="G4149" s="212"/>
    </row>
    <row r="4150" spans="2:7" x14ac:dyDescent="0.2">
      <c r="B4150" s="212"/>
      <c r="C4150" s="213"/>
      <c r="D4150" s="212"/>
      <c r="E4150" s="212"/>
      <c r="F4150" s="212"/>
      <c r="G4150" s="212" t="s">
        <v>648</v>
      </c>
    </row>
    <row r="4151" spans="2:7" ht="17" thickBot="1" x14ac:dyDescent="0.25">
      <c r="B4151" s="212"/>
      <c r="C4151" s="213"/>
      <c r="D4151" s="212"/>
      <c r="E4151" s="212"/>
      <c r="F4151" s="212"/>
      <c r="G4151" s="212"/>
    </row>
    <row r="4152" spans="2:7" ht="17" thickTop="1" x14ac:dyDescent="0.2">
      <c r="B4152" s="537" t="s">
        <v>186</v>
      </c>
      <c r="C4152" s="538"/>
      <c r="D4152" s="538"/>
      <c r="E4152" s="538"/>
      <c r="F4152" s="148"/>
      <c r="G4152" s="149" t="s">
        <v>608</v>
      </c>
    </row>
    <row r="4153" spans="2:7" x14ac:dyDescent="0.2">
      <c r="B4153" s="539"/>
      <c r="C4153" s="540"/>
      <c r="D4153" s="540"/>
      <c r="E4153" s="540"/>
      <c r="F4153" s="150"/>
      <c r="G4153" s="151" t="s">
        <v>477</v>
      </c>
    </row>
    <row r="4154" spans="2:7" x14ac:dyDescent="0.2">
      <c r="B4154" s="152" t="s">
        <v>1</v>
      </c>
      <c r="C4154" s="153" t="s">
        <v>2</v>
      </c>
      <c r="D4154" s="153" t="s">
        <v>3</v>
      </c>
      <c r="E4154" s="153" t="s">
        <v>441</v>
      </c>
      <c r="F4154" s="154" t="s">
        <v>442</v>
      </c>
      <c r="G4154" s="155" t="s">
        <v>443</v>
      </c>
    </row>
    <row r="4155" spans="2:7" x14ac:dyDescent="0.2">
      <c r="B4155" s="157"/>
      <c r="C4155" s="158"/>
      <c r="D4155" s="156"/>
      <c r="E4155" s="156"/>
      <c r="F4155" s="159"/>
      <c r="G4155" s="160"/>
    </row>
    <row r="4156" spans="2:7" x14ac:dyDescent="0.2">
      <c r="B4156" s="161" t="s">
        <v>444</v>
      </c>
      <c r="C4156" s="158"/>
      <c r="D4156" s="156"/>
      <c r="E4156" s="156"/>
      <c r="F4156" s="159"/>
      <c r="G4156" s="160"/>
    </row>
    <row r="4157" spans="2:7" x14ac:dyDescent="0.2">
      <c r="B4157" s="236"/>
      <c r="C4157" s="185"/>
      <c r="D4157" s="181"/>
      <c r="E4157" s="186"/>
      <c r="F4157" s="222"/>
      <c r="G4157" s="237"/>
    </row>
    <row r="4158" spans="2:7" x14ac:dyDescent="0.2">
      <c r="B4158" s="157"/>
      <c r="C4158" s="158"/>
      <c r="D4158" s="156"/>
      <c r="E4158" s="156"/>
      <c r="F4158" s="159" t="s">
        <v>446</v>
      </c>
      <c r="G4158" s="183" t="s">
        <v>465</v>
      </c>
    </row>
    <row r="4159" spans="2:7" x14ac:dyDescent="0.2">
      <c r="B4159" s="379" t="s">
        <v>447</v>
      </c>
      <c r="C4159" s="158" t="s">
        <v>588</v>
      </c>
      <c r="D4159" s="158" t="s">
        <v>589</v>
      </c>
      <c r="E4159" s="158" t="s">
        <v>590</v>
      </c>
      <c r="F4159" s="380" t="s">
        <v>591</v>
      </c>
      <c r="G4159" s="381" t="s">
        <v>592</v>
      </c>
    </row>
    <row r="4160" spans="2:7" x14ac:dyDescent="0.2">
      <c r="B4160" s="471" t="s">
        <v>583</v>
      </c>
      <c r="C4160" s="486">
        <v>314474</v>
      </c>
      <c r="D4160" s="181">
        <v>1.47</v>
      </c>
      <c r="E4160" s="396">
        <v>462276</v>
      </c>
      <c r="F4160" s="487">
        <v>1.282E-2</v>
      </c>
      <c r="G4160" s="488">
        <v>5926.62</v>
      </c>
    </row>
    <row r="4161" spans="2:7" x14ac:dyDescent="0.2">
      <c r="B4161" s="475" t="s">
        <v>524</v>
      </c>
      <c r="C4161" s="486">
        <v>107474</v>
      </c>
      <c r="D4161" s="415">
        <v>1.47</v>
      </c>
      <c r="E4161" s="464">
        <v>157986</v>
      </c>
      <c r="F4161" s="490">
        <v>1.282E-2</v>
      </c>
      <c r="G4161" s="502">
        <v>2025.46</v>
      </c>
    </row>
    <row r="4162" spans="2:7" x14ac:dyDescent="0.2">
      <c r="B4162" s="475" t="s">
        <v>525</v>
      </c>
      <c r="C4162" s="486">
        <v>272540</v>
      </c>
      <c r="D4162" s="415">
        <v>1.47</v>
      </c>
      <c r="E4162" s="363">
        <v>400633</v>
      </c>
      <c r="F4162" s="491">
        <v>0.01</v>
      </c>
      <c r="G4162" s="502">
        <v>2568.16</v>
      </c>
    </row>
    <row r="4163" spans="2:7" x14ac:dyDescent="0.2">
      <c r="B4163" s="180"/>
      <c r="C4163" s="185"/>
      <c r="D4163" s="181"/>
      <c r="E4163" s="170"/>
      <c r="F4163" s="222"/>
      <c r="G4163" s="230"/>
    </row>
    <row r="4164" spans="2:7" x14ac:dyDescent="0.2">
      <c r="B4164" s="157"/>
      <c r="C4164" s="158"/>
      <c r="D4164" s="156"/>
      <c r="E4164" s="156"/>
      <c r="F4164" s="159" t="s">
        <v>449</v>
      </c>
      <c r="G4164" s="183">
        <v>10520.24</v>
      </c>
    </row>
    <row r="4165" spans="2:7" x14ac:dyDescent="0.2">
      <c r="B4165" s="161" t="s">
        <v>450</v>
      </c>
      <c r="C4165" s="158"/>
      <c r="D4165" s="156"/>
      <c r="E4165" s="156"/>
      <c r="F4165" s="159"/>
      <c r="G4165" s="160"/>
    </row>
    <row r="4166" spans="2:7" x14ac:dyDescent="0.2">
      <c r="B4166" s="218" t="s">
        <v>649</v>
      </c>
      <c r="C4166" s="219" t="s">
        <v>2</v>
      </c>
      <c r="D4166" s="503">
        <v>5.1279999999999999E-2</v>
      </c>
      <c r="E4166" s="229"/>
      <c r="F4166" s="470">
        <v>18403</v>
      </c>
      <c r="G4166" s="221">
        <v>943.74</v>
      </c>
    </row>
    <row r="4167" spans="2:7" x14ac:dyDescent="0.2">
      <c r="B4167" s="152" t="s">
        <v>650</v>
      </c>
      <c r="C4167" s="219" t="s">
        <v>2</v>
      </c>
      <c r="D4167" s="503">
        <v>3.2100000000000002E-3</v>
      </c>
      <c r="E4167" s="229"/>
      <c r="F4167" s="470">
        <v>31500</v>
      </c>
      <c r="G4167" s="286">
        <v>100.96</v>
      </c>
    </row>
    <row r="4168" spans="2:7" x14ac:dyDescent="0.2">
      <c r="B4168" s="152" t="s">
        <v>651</v>
      </c>
      <c r="C4168" s="219" t="s">
        <v>2</v>
      </c>
      <c r="D4168" s="503">
        <v>3.2100000000000002E-3</v>
      </c>
      <c r="E4168" s="229"/>
      <c r="F4168" s="470">
        <v>48900</v>
      </c>
      <c r="G4168" s="286">
        <v>156.72999999999999</v>
      </c>
    </row>
    <row r="4169" spans="2:7" x14ac:dyDescent="0.2">
      <c r="B4169" s="152" t="s">
        <v>568</v>
      </c>
      <c r="C4169" s="219" t="s">
        <v>2</v>
      </c>
      <c r="D4169" s="503">
        <v>6.4100000000000004E-2</v>
      </c>
      <c r="E4169" s="229"/>
      <c r="F4169" s="470">
        <v>2100</v>
      </c>
      <c r="G4169" s="286">
        <v>134.61000000000001</v>
      </c>
    </row>
    <row r="4170" spans="2:7" x14ac:dyDescent="0.2">
      <c r="B4170" s="152" t="s">
        <v>552</v>
      </c>
      <c r="C4170" s="219" t="s">
        <v>2</v>
      </c>
      <c r="D4170" s="503">
        <v>1.282E-2</v>
      </c>
      <c r="E4170" s="229"/>
      <c r="F4170" s="470">
        <v>1800</v>
      </c>
      <c r="G4170" s="286">
        <v>23.07</v>
      </c>
    </row>
    <row r="4171" spans="2:7" x14ac:dyDescent="0.2">
      <c r="B4171" s="152" t="s">
        <v>611</v>
      </c>
      <c r="C4171" s="219" t="s">
        <v>2</v>
      </c>
      <c r="D4171" s="503">
        <v>1.282E-2</v>
      </c>
      <c r="E4171" s="229"/>
      <c r="F4171" s="470">
        <v>2900</v>
      </c>
      <c r="G4171" s="286">
        <v>37.17</v>
      </c>
    </row>
    <row r="4172" spans="2:7" x14ac:dyDescent="0.2">
      <c r="B4172" s="152" t="s">
        <v>551</v>
      </c>
      <c r="C4172" s="219" t="s">
        <v>2</v>
      </c>
      <c r="D4172" s="503">
        <v>3.8460000000000001E-2</v>
      </c>
      <c r="E4172" s="229"/>
      <c r="F4172" s="470">
        <v>1000</v>
      </c>
      <c r="G4172" s="286">
        <v>38.46</v>
      </c>
    </row>
    <row r="4173" spans="2:7" x14ac:dyDescent="0.2">
      <c r="B4173" s="152" t="s">
        <v>569</v>
      </c>
      <c r="C4173" s="219" t="s">
        <v>2</v>
      </c>
      <c r="D4173" s="503">
        <v>5.1279999999999999E-2</v>
      </c>
      <c r="E4173" s="229"/>
      <c r="F4173" s="470">
        <v>3700</v>
      </c>
      <c r="G4173" s="286">
        <v>189.74</v>
      </c>
    </row>
    <row r="4174" spans="2:7" x14ac:dyDescent="0.2">
      <c r="B4174" s="152" t="s">
        <v>567</v>
      </c>
      <c r="C4174" s="219" t="s">
        <v>2</v>
      </c>
      <c r="D4174" s="503">
        <v>1.282E-2</v>
      </c>
      <c r="E4174" s="229"/>
      <c r="F4174" s="470">
        <v>2000</v>
      </c>
      <c r="G4174" s="286">
        <v>25.64</v>
      </c>
    </row>
    <row r="4175" spans="2:7" x14ac:dyDescent="0.2">
      <c r="B4175" s="152" t="s">
        <v>570</v>
      </c>
      <c r="C4175" s="219" t="s">
        <v>2</v>
      </c>
      <c r="D4175" s="503">
        <v>1.282E-2</v>
      </c>
      <c r="E4175" s="229"/>
      <c r="F4175" s="470">
        <v>1600</v>
      </c>
      <c r="G4175" s="286">
        <v>20.51</v>
      </c>
    </row>
    <row r="4176" spans="2:7" x14ac:dyDescent="0.2">
      <c r="B4176" s="152" t="s">
        <v>612</v>
      </c>
      <c r="C4176" s="219" t="s">
        <v>2</v>
      </c>
      <c r="D4176" s="503">
        <v>1.282E-2</v>
      </c>
      <c r="E4176" s="229"/>
      <c r="F4176" s="470">
        <v>500</v>
      </c>
      <c r="G4176" s="286">
        <v>6.41</v>
      </c>
    </row>
    <row r="4177" spans="2:7" x14ac:dyDescent="0.2">
      <c r="B4177" s="152" t="s">
        <v>652</v>
      </c>
      <c r="C4177" s="219" t="s">
        <v>653</v>
      </c>
      <c r="D4177" s="503">
        <v>7.6920000000000002E-2</v>
      </c>
      <c r="E4177" s="229"/>
      <c r="F4177" s="470">
        <v>1000</v>
      </c>
      <c r="G4177" s="286">
        <v>76.92</v>
      </c>
    </row>
    <row r="4178" spans="2:7" x14ac:dyDescent="0.2">
      <c r="B4178" s="180"/>
      <c r="C4178" s="185"/>
      <c r="D4178" s="181"/>
      <c r="E4178" s="186"/>
      <c r="F4178" s="222"/>
      <c r="G4178" s="230"/>
    </row>
    <row r="4179" spans="2:7" x14ac:dyDescent="0.2">
      <c r="B4179" s="157"/>
      <c r="C4179" s="158"/>
      <c r="D4179" s="156"/>
      <c r="E4179" s="156"/>
      <c r="F4179" s="159" t="s">
        <v>452</v>
      </c>
      <c r="G4179" s="183">
        <v>1753.96</v>
      </c>
    </row>
    <row r="4180" spans="2:7" x14ac:dyDescent="0.2">
      <c r="B4180" s="157"/>
      <c r="C4180" s="158"/>
      <c r="D4180" s="156"/>
      <c r="E4180" s="156"/>
      <c r="F4180" s="159"/>
      <c r="G4180" s="160"/>
    </row>
    <row r="4181" spans="2:7" ht="17" thickBot="1" x14ac:dyDescent="0.25">
      <c r="B4181" s="206"/>
      <c r="C4181" s="207"/>
      <c r="D4181" s="208"/>
      <c r="E4181" s="209" t="s">
        <v>460</v>
      </c>
      <c r="F4181" s="210">
        <v>12274.2</v>
      </c>
      <c r="G4181" s="211">
        <v>12274</v>
      </c>
    </row>
    <row r="4182" spans="2:7" ht="17" thickTop="1" x14ac:dyDescent="0.2"/>
  </sheetData>
  <mergeCells count="156">
    <mergeCell ref="B151:E152"/>
    <mergeCell ref="B177:E178"/>
    <mergeCell ref="B202:E203"/>
    <mergeCell ref="B227:E228"/>
    <mergeCell ref="B252:E253"/>
    <mergeCell ref="B276:E277"/>
    <mergeCell ref="B3:E4"/>
    <mergeCell ref="B28:E29"/>
    <mergeCell ref="B53:E54"/>
    <mergeCell ref="B78:E79"/>
    <mergeCell ref="B102:E103"/>
    <mergeCell ref="B127:E128"/>
    <mergeCell ref="B451:E452"/>
    <mergeCell ref="B475:E476"/>
    <mergeCell ref="B500:E501"/>
    <mergeCell ref="B525:E526"/>
    <mergeCell ref="B549:E550"/>
    <mergeCell ref="B574:E575"/>
    <mergeCell ref="B301:E302"/>
    <mergeCell ref="B325:E326"/>
    <mergeCell ref="B351:E352"/>
    <mergeCell ref="B377:E378"/>
    <mergeCell ref="B402:E403"/>
    <mergeCell ref="B426:E427"/>
    <mergeCell ref="B750:E751"/>
    <mergeCell ref="B774:E775"/>
    <mergeCell ref="B800:E801"/>
    <mergeCell ref="B826:E827"/>
    <mergeCell ref="B851:E852"/>
    <mergeCell ref="B876:E877"/>
    <mergeCell ref="B598:E599"/>
    <mergeCell ref="B624:E625"/>
    <mergeCell ref="B650:E651"/>
    <mergeCell ref="B675:E676"/>
    <mergeCell ref="B700:E701"/>
    <mergeCell ref="B725:E726"/>
    <mergeCell ref="B1049:E1050"/>
    <mergeCell ref="B1073:E1074"/>
    <mergeCell ref="B1098:E1099"/>
    <mergeCell ref="B1123:E1124"/>
    <mergeCell ref="B1147:E1148"/>
    <mergeCell ref="B1172:E1173"/>
    <mergeCell ref="B900:E901"/>
    <mergeCell ref="B925:E926"/>
    <mergeCell ref="B949:E950"/>
    <mergeCell ref="B975:E976"/>
    <mergeCell ref="B1000:E1001"/>
    <mergeCell ref="B1024:E1025"/>
    <mergeCell ref="B1388:E1389"/>
    <mergeCell ref="B1421:E1422"/>
    <mergeCell ref="B1460:E1461"/>
    <mergeCell ref="B1494:E1495"/>
    <mergeCell ref="B1528:E1529"/>
    <mergeCell ref="B1560:E1561"/>
    <mergeCell ref="B1196:E1197"/>
    <mergeCell ref="B1224:E1225"/>
    <mergeCell ref="B1258:E1259"/>
    <mergeCell ref="B1292:E1293"/>
    <mergeCell ref="B1324:E1325"/>
    <mergeCell ref="B1356:E1357"/>
    <mergeCell ref="B1776:E1777"/>
    <mergeCell ref="B1802:E1803"/>
    <mergeCell ref="B1829:E1830"/>
    <mergeCell ref="B1856:E1857"/>
    <mergeCell ref="B1883:E1884"/>
    <mergeCell ref="B1910:E1911"/>
    <mergeCell ref="B1592:E1593"/>
    <mergeCell ref="B1624:E1625"/>
    <mergeCell ref="B1656:E1657"/>
    <mergeCell ref="B1695:E1696"/>
    <mergeCell ref="B1722:E1723"/>
    <mergeCell ref="B1749:E1750"/>
    <mergeCell ref="B2146:E2147"/>
    <mergeCell ref="B2180:E2181"/>
    <mergeCell ref="B2213:E2214"/>
    <mergeCell ref="B2246:E2247"/>
    <mergeCell ref="B2279:E2280"/>
    <mergeCell ref="B2312:E2313"/>
    <mergeCell ref="B1949:E1950"/>
    <mergeCell ref="B1983:E1984"/>
    <mergeCell ref="B2011:E2012"/>
    <mergeCell ref="B2044:E2045"/>
    <mergeCell ref="B2078:E2079"/>
    <mergeCell ref="B2111:E2112"/>
    <mergeCell ref="B2535:E2536"/>
    <mergeCell ref="B2560:E2561"/>
    <mergeCell ref="B2585:E2586"/>
    <mergeCell ref="B2610:E2611"/>
    <mergeCell ref="B2635:E2636"/>
    <mergeCell ref="B2660:E2661"/>
    <mergeCell ref="B2345:E2346"/>
    <mergeCell ref="B2378:E2379"/>
    <mergeCell ref="B2411:E2412"/>
    <mergeCell ref="B2445:E2446"/>
    <mergeCell ref="B2478:E2479"/>
    <mergeCell ref="B2511:E2512"/>
    <mergeCell ref="B2827:E2828"/>
    <mergeCell ref="B2851:E2852"/>
    <mergeCell ref="B2875:E2876"/>
    <mergeCell ref="B2899:E2900"/>
    <mergeCell ref="B2923:E2924"/>
    <mergeCell ref="B2942:E2943"/>
    <mergeCell ref="B2683:E2684"/>
    <mergeCell ref="B2707:E2708"/>
    <mergeCell ref="B2731:E2732"/>
    <mergeCell ref="B2755:E2756"/>
    <mergeCell ref="B2779:E2780"/>
    <mergeCell ref="B2803:E2804"/>
    <mergeCell ref="B3111:E3112"/>
    <mergeCell ref="B3139:E3140"/>
    <mergeCell ref="B3167:E3168"/>
    <mergeCell ref="B3195:E3196"/>
    <mergeCell ref="B3223:E3224"/>
    <mergeCell ref="B3251:E3252"/>
    <mergeCell ref="B2961:E2962"/>
    <mergeCell ref="B2980:E2981"/>
    <mergeCell ref="B2999:E3000"/>
    <mergeCell ref="B3027:E3028"/>
    <mergeCell ref="B3055:E3056"/>
    <mergeCell ref="B3083:E3084"/>
    <mergeCell ref="B3424:E3425"/>
    <mergeCell ref="B3444:E3445"/>
    <mergeCell ref="B3462:E3463"/>
    <mergeCell ref="B3482:E3483"/>
    <mergeCell ref="B3507:E3508"/>
    <mergeCell ref="B3532:E3533"/>
    <mergeCell ref="B3279:E3280"/>
    <mergeCell ref="B3306:E3307"/>
    <mergeCell ref="B3333:E3334"/>
    <mergeCell ref="B3360:E3361"/>
    <mergeCell ref="B3387:E3388"/>
    <mergeCell ref="B3407:E3408"/>
    <mergeCell ref="B3702:E3703"/>
    <mergeCell ref="B3726:E3727"/>
    <mergeCell ref="B3750:E3751"/>
    <mergeCell ref="B3774:E3775"/>
    <mergeCell ref="B3798:E3799"/>
    <mergeCell ref="B3822:E3823"/>
    <mergeCell ref="B3557:E3558"/>
    <mergeCell ref="B3582:E3583"/>
    <mergeCell ref="B3607:E3608"/>
    <mergeCell ref="B3630:E3631"/>
    <mergeCell ref="B3654:E3655"/>
    <mergeCell ref="B3678:E3679"/>
    <mergeCell ref="B4010:E4011"/>
    <mergeCell ref="B4038:E4039"/>
    <mergeCell ref="B4066:E4067"/>
    <mergeCell ref="B4094:E4095"/>
    <mergeCell ref="B4122:E4123"/>
    <mergeCell ref="B4152:E4153"/>
    <mergeCell ref="B3846:E3847"/>
    <mergeCell ref="B3870:E3871"/>
    <mergeCell ref="B3898:E3899"/>
    <mergeCell ref="B3926:E3927"/>
    <mergeCell ref="B3954:E3955"/>
    <mergeCell ref="B3982:E39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CEC-F010-B648-B22B-82B9476F3B12}">
  <dimension ref="B4:M164"/>
  <sheetViews>
    <sheetView tabSelected="1" workbookViewId="0">
      <selection activeCell="H88" sqref="H88"/>
    </sheetView>
  </sheetViews>
  <sheetFormatPr baseColWidth="10" defaultRowHeight="16" x14ac:dyDescent="0.2"/>
  <cols>
    <col min="7" max="7" width="13.6640625" bestFit="1" customWidth="1"/>
    <col min="8" max="8" width="15.1640625" bestFit="1" customWidth="1"/>
    <col min="9" max="9" width="13.6640625" bestFit="1" customWidth="1"/>
    <col min="12" max="12" width="15.1640625" bestFit="1" customWidth="1"/>
  </cols>
  <sheetData>
    <row r="4" spans="2:13" x14ac:dyDescent="0.2">
      <c r="B4" s="147"/>
      <c r="C4" s="147"/>
      <c r="D4" s="147"/>
      <c r="E4" s="147"/>
      <c r="F4" s="147"/>
      <c r="G4" s="147"/>
      <c r="H4" s="147"/>
      <c r="I4" s="147"/>
      <c r="J4" s="504"/>
      <c r="K4" s="504"/>
      <c r="L4" s="147"/>
      <c r="M4" s="147"/>
    </row>
    <row r="5" spans="2:13" x14ac:dyDescent="0.2">
      <c r="B5" s="147"/>
      <c r="C5" s="147"/>
      <c r="D5" s="147"/>
      <c r="E5" s="147"/>
      <c r="F5" s="147"/>
      <c r="G5" s="147"/>
      <c r="H5" s="147"/>
      <c r="I5" s="147"/>
      <c r="J5" s="504"/>
      <c r="K5" s="504"/>
      <c r="L5" s="147"/>
      <c r="M5" s="147"/>
    </row>
    <row r="6" spans="2:13" ht="17" x14ac:dyDescent="0.2">
      <c r="B6" s="505" t="s">
        <v>654</v>
      </c>
      <c r="C6" s="506" t="s">
        <v>444</v>
      </c>
      <c r="D6" s="147"/>
      <c r="E6" s="147"/>
      <c r="F6" s="147"/>
      <c r="G6" s="147"/>
      <c r="H6" s="507">
        <v>21121767.73</v>
      </c>
      <c r="I6" s="147"/>
      <c r="J6" s="504"/>
      <c r="K6" s="504"/>
      <c r="L6" s="507">
        <v>27034881.77</v>
      </c>
      <c r="M6" s="147"/>
    </row>
    <row r="7" spans="2:13" x14ac:dyDescent="0.2">
      <c r="B7" s="508" t="s">
        <v>655</v>
      </c>
      <c r="C7" s="509" t="s">
        <v>656</v>
      </c>
      <c r="D7" s="510" t="s">
        <v>657</v>
      </c>
      <c r="E7" s="511"/>
      <c r="F7" s="509" t="s">
        <v>658</v>
      </c>
      <c r="G7" s="509" t="s">
        <v>659</v>
      </c>
      <c r="H7" s="512" t="s">
        <v>5</v>
      </c>
      <c r="I7" s="509" t="s">
        <v>660</v>
      </c>
      <c r="J7" s="513" t="s">
        <v>661</v>
      </c>
      <c r="K7" s="513" t="s">
        <v>662</v>
      </c>
      <c r="L7" s="512" t="s">
        <v>663</v>
      </c>
      <c r="M7" s="509"/>
    </row>
    <row r="8" spans="2:13" x14ac:dyDescent="0.2">
      <c r="B8" s="514">
        <v>111555</v>
      </c>
      <c r="C8" s="515" t="s">
        <v>664</v>
      </c>
      <c r="D8" s="516" t="s">
        <v>600</v>
      </c>
      <c r="E8" s="517" t="s">
        <v>665</v>
      </c>
      <c r="F8" s="515">
        <v>6.3555555559999997</v>
      </c>
      <c r="G8" s="518">
        <v>18401</v>
      </c>
      <c r="H8" s="518">
        <v>116948.58</v>
      </c>
      <c r="I8" s="518">
        <v>18401</v>
      </c>
      <c r="J8" s="519">
        <v>0.28000000000000003</v>
      </c>
      <c r="K8" s="520">
        <v>23553</v>
      </c>
      <c r="L8" s="518">
        <v>149692.4</v>
      </c>
      <c r="M8" s="515">
        <v>25</v>
      </c>
    </row>
    <row r="9" spans="2:13" x14ac:dyDescent="0.2">
      <c r="B9" s="521">
        <v>150185</v>
      </c>
      <c r="C9" s="522" t="s">
        <v>520</v>
      </c>
      <c r="D9" s="516" t="s">
        <v>8</v>
      </c>
      <c r="E9" s="517" t="s">
        <v>666</v>
      </c>
      <c r="F9" s="522">
        <v>3.1589999999999998</v>
      </c>
      <c r="G9" s="523">
        <v>7517</v>
      </c>
      <c r="H9" s="523">
        <v>23746.2</v>
      </c>
      <c r="I9" s="523">
        <v>7517</v>
      </c>
      <c r="J9" s="524">
        <v>0.28000000000000003</v>
      </c>
      <c r="K9" s="525">
        <v>9622</v>
      </c>
      <c r="L9" s="523">
        <v>30395.9</v>
      </c>
      <c r="M9" s="522">
        <v>3</v>
      </c>
    </row>
    <row r="10" spans="2:13" x14ac:dyDescent="0.2">
      <c r="B10" s="521">
        <v>109008</v>
      </c>
      <c r="C10" s="522" t="s">
        <v>667</v>
      </c>
      <c r="D10" s="516" t="s">
        <v>2</v>
      </c>
      <c r="E10" s="517" t="s">
        <v>668</v>
      </c>
      <c r="F10" s="522">
        <v>6</v>
      </c>
      <c r="G10" s="523">
        <v>610</v>
      </c>
      <c r="H10" s="523">
        <v>3660</v>
      </c>
      <c r="I10" s="523">
        <v>610</v>
      </c>
      <c r="J10" s="524">
        <v>0.28000000000000003</v>
      </c>
      <c r="K10" s="525">
        <v>781</v>
      </c>
      <c r="L10" s="523">
        <v>4686</v>
      </c>
      <c r="M10" s="522">
        <v>1</v>
      </c>
    </row>
    <row r="11" spans="2:13" x14ac:dyDescent="0.2">
      <c r="B11" s="521">
        <v>150632</v>
      </c>
      <c r="C11" s="522" t="s">
        <v>669</v>
      </c>
      <c r="D11" s="516" t="s">
        <v>2</v>
      </c>
      <c r="E11" s="517" t="s">
        <v>670</v>
      </c>
      <c r="F11" s="522">
        <v>5.0999999999999996</v>
      </c>
      <c r="G11" s="523">
        <v>5695.73</v>
      </c>
      <c r="H11" s="523">
        <v>29048.21</v>
      </c>
      <c r="I11" s="523">
        <v>5695.73</v>
      </c>
      <c r="J11" s="524">
        <v>0.28000000000000003</v>
      </c>
      <c r="K11" s="525">
        <v>7291</v>
      </c>
      <c r="L11" s="523">
        <v>37184.1</v>
      </c>
      <c r="M11" s="522">
        <v>2</v>
      </c>
    </row>
    <row r="12" spans="2:13" x14ac:dyDescent="0.2">
      <c r="B12" s="521">
        <v>111881</v>
      </c>
      <c r="C12" s="522" t="s">
        <v>550</v>
      </c>
      <c r="D12" s="516" t="s">
        <v>114</v>
      </c>
      <c r="E12" s="517" t="s">
        <v>671</v>
      </c>
      <c r="F12" s="522">
        <v>9.7714673150000007</v>
      </c>
      <c r="G12" s="523">
        <v>2100</v>
      </c>
      <c r="H12" s="523">
        <v>20520.080000000002</v>
      </c>
      <c r="I12" s="523">
        <v>2100</v>
      </c>
      <c r="J12" s="524">
        <v>0.28000000000000003</v>
      </c>
      <c r="K12" s="525">
        <v>2688</v>
      </c>
      <c r="L12" s="523">
        <v>26265.7</v>
      </c>
      <c r="M12" s="522">
        <v>1</v>
      </c>
    </row>
    <row r="13" spans="2:13" x14ac:dyDescent="0.2">
      <c r="B13" s="521">
        <v>100010</v>
      </c>
      <c r="C13" s="522" t="s">
        <v>602</v>
      </c>
      <c r="D13" s="516" t="s">
        <v>2</v>
      </c>
      <c r="E13" s="526" t="s">
        <v>672</v>
      </c>
      <c r="F13" s="522">
        <v>2.04</v>
      </c>
      <c r="G13" s="523">
        <v>7815</v>
      </c>
      <c r="H13" s="523">
        <v>15942.6</v>
      </c>
      <c r="I13" s="523">
        <v>7815</v>
      </c>
      <c r="J13" s="524">
        <v>0.28000000000000003</v>
      </c>
      <c r="K13" s="525">
        <v>10003</v>
      </c>
      <c r="L13" s="523">
        <v>20406.12</v>
      </c>
      <c r="M13" s="522">
        <v>1</v>
      </c>
    </row>
    <row r="14" spans="2:13" x14ac:dyDescent="0.2">
      <c r="B14" s="521">
        <v>150802</v>
      </c>
      <c r="C14" s="522" t="s">
        <v>602</v>
      </c>
      <c r="D14" s="516" t="s">
        <v>2</v>
      </c>
      <c r="E14" s="526" t="s">
        <v>672</v>
      </c>
      <c r="F14" s="522">
        <v>2.0351569789999999</v>
      </c>
      <c r="G14" s="523">
        <v>7815</v>
      </c>
      <c r="H14" s="523">
        <v>15904.75</v>
      </c>
      <c r="I14" s="523">
        <v>7815</v>
      </c>
      <c r="J14" s="524">
        <v>0.28000000000000003</v>
      </c>
      <c r="K14" s="525">
        <v>10003</v>
      </c>
      <c r="L14" s="523">
        <v>20357.68</v>
      </c>
      <c r="M14" s="522">
        <v>1</v>
      </c>
    </row>
    <row r="15" spans="2:13" x14ac:dyDescent="0.2">
      <c r="B15" s="521">
        <v>150625</v>
      </c>
      <c r="C15" s="522" t="s">
        <v>673</v>
      </c>
      <c r="D15" s="516" t="s">
        <v>2</v>
      </c>
      <c r="E15" s="517" t="s">
        <v>674</v>
      </c>
      <c r="F15" s="522">
        <v>1.6666666670000001</v>
      </c>
      <c r="G15" s="523">
        <v>9899</v>
      </c>
      <c r="H15" s="523">
        <v>16498.330000000002</v>
      </c>
      <c r="I15" s="523">
        <v>9899</v>
      </c>
      <c r="J15" s="524">
        <v>0.28000000000000003</v>
      </c>
      <c r="K15" s="525">
        <v>12671</v>
      </c>
      <c r="L15" s="523">
        <v>21118.33</v>
      </c>
      <c r="M15" s="522">
        <v>25</v>
      </c>
    </row>
    <row r="16" spans="2:13" x14ac:dyDescent="0.2">
      <c r="B16" s="527">
        <v>150629</v>
      </c>
      <c r="C16" s="522" t="s">
        <v>675</v>
      </c>
      <c r="D16" s="516" t="s">
        <v>2</v>
      </c>
      <c r="E16" s="526" t="s">
        <v>676</v>
      </c>
      <c r="F16" s="522">
        <v>0.34</v>
      </c>
      <c r="G16" s="523">
        <v>531642.16</v>
      </c>
      <c r="H16" s="523">
        <v>180758.33</v>
      </c>
      <c r="I16" s="523">
        <v>531642.16</v>
      </c>
      <c r="J16" s="524">
        <v>0.28000000000000003</v>
      </c>
      <c r="K16" s="525">
        <v>680502</v>
      </c>
      <c r="L16" s="523">
        <v>231370.68</v>
      </c>
      <c r="M16" s="522">
        <v>2</v>
      </c>
    </row>
    <row r="17" spans="2:13" x14ac:dyDescent="0.2">
      <c r="B17" s="527">
        <v>150629</v>
      </c>
      <c r="C17" s="522" t="s">
        <v>675</v>
      </c>
      <c r="D17" s="516" t="s">
        <v>2</v>
      </c>
      <c r="E17" s="526" t="s">
        <v>676</v>
      </c>
      <c r="F17" s="522">
        <v>0.34</v>
      </c>
      <c r="G17" s="523">
        <v>531642.16</v>
      </c>
      <c r="H17" s="523">
        <v>180758.34</v>
      </c>
      <c r="I17" s="523">
        <v>531642.16</v>
      </c>
      <c r="J17" s="524">
        <v>0.28000000000000003</v>
      </c>
      <c r="K17" s="525">
        <v>680502</v>
      </c>
      <c r="L17" s="523">
        <v>231370.68</v>
      </c>
      <c r="M17" s="522">
        <v>2</v>
      </c>
    </row>
    <row r="18" spans="2:13" x14ac:dyDescent="0.2">
      <c r="B18" s="521">
        <v>150623</v>
      </c>
      <c r="C18" s="522" t="s">
        <v>677</v>
      </c>
      <c r="D18" s="516" t="s">
        <v>2</v>
      </c>
      <c r="E18" s="517" t="s">
        <v>678</v>
      </c>
      <c r="F18" s="522">
        <v>9.1850000000000005</v>
      </c>
      <c r="G18" s="523">
        <v>139347</v>
      </c>
      <c r="H18" s="523">
        <v>1279902.2</v>
      </c>
      <c r="I18" s="523">
        <v>139347</v>
      </c>
      <c r="J18" s="524">
        <v>0.28000000000000003</v>
      </c>
      <c r="K18" s="525">
        <v>178364</v>
      </c>
      <c r="L18" s="523">
        <v>1638273.34</v>
      </c>
      <c r="M18" s="522">
        <v>25</v>
      </c>
    </row>
    <row r="19" spans="2:13" x14ac:dyDescent="0.2">
      <c r="B19" s="521">
        <v>111904</v>
      </c>
      <c r="C19" s="522" t="s">
        <v>534</v>
      </c>
      <c r="D19" s="516" t="s">
        <v>2</v>
      </c>
      <c r="E19" s="517" t="s">
        <v>679</v>
      </c>
      <c r="F19" s="522">
        <v>3.5624999999999997E-2</v>
      </c>
      <c r="G19" s="523">
        <v>126140</v>
      </c>
      <c r="H19" s="523">
        <v>4493.74</v>
      </c>
      <c r="I19" s="523">
        <v>126140</v>
      </c>
      <c r="J19" s="524">
        <v>0.28000000000000003</v>
      </c>
      <c r="K19" s="525">
        <v>161459</v>
      </c>
      <c r="L19" s="523">
        <v>5751.98</v>
      </c>
      <c r="M19" s="522">
        <v>2</v>
      </c>
    </row>
    <row r="20" spans="2:13" x14ac:dyDescent="0.2">
      <c r="B20" s="527">
        <v>150631</v>
      </c>
      <c r="C20" s="522" t="s">
        <v>680</v>
      </c>
      <c r="D20" s="516" t="s">
        <v>2</v>
      </c>
      <c r="E20" s="526" t="s">
        <v>681</v>
      </c>
      <c r="F20" s="522">
        <v>1.47E-2</v>
      </c>
      <c r="G20" s="523">
        <v>73260.070000000007</v>
      </c>
      <c r="H20" s="523">
        <v>1076.92</v>
      </c>
      <c r="I20" s="523">
        <v>73260.070000000007</v>
      </c>
      <c r="J20" s="524">
        <v>0.28000000000000003</v>
      </c>
      <c r="K20" s="525">
        <v>93773</v>
      </c>
      <c r="L20" s="523">
        <v>1378.46</v>
      </c>
      <c r="M20" s="522">
        <v>2</v>
      </c>
    </row>
    <row r="21" spans="2:13" x14ac:dyDescent="0.2">
      <c r="B21" s="527">
        <v>150631</v>
      </c>
      <c r="C21" s="522" t="s">
        <v>680</v>
      </c>
      <c r="D21" s="516" t="s">
        <v>2</v>
      </c>
      <c r="E21" s="526" t="s">
        <v>681</v>
      </c>
      <c r="F21" s="522">
        <v>1.47E-2</v>
      </c>
      <c r="G21" s="523">
        <v>73260.070000000007</v>
      </c>
      <c r="H21" s="523">
        <v>1076.92</v>
      </c>
      <c r="I21" s="523">
        <v>73260.070000000007</v>
      </c>
      <c r="J21" s="524">
        <v>0.28000000000000003</v>
      </c>
      <c r="K21" s="525">
        <v>93773</v>
      </c>
      <c r="L21" s="523">
        <v>1378.46</v>
      </c>
      <c r="M21" s="522">
        <v>2</v>
      </c>
    </row>
    <row r="22" spans="2:13" x14ac:dyDescent="0.2">
      <c r="B22" s="521">
        <v>111905</v>
      </c>
      <c r="C22" s="522" t="s">
        <v>479</v>
      </c>
      <c r="D22" s="516" t="s">
        <v>8</v>
      </c>
      <c r="E22" s="517" t="s">
        <v>682</v>
      </c>
      <c r="F22" s="522">
        <v>28.814754099999998</v>
      </c>
      <c r="G22" s="523">
        <v>25261.25</v>
      </c>
      <c r="H22" s="523">
        <v>727896.71</v>
      </c>
      <c r="I22" s="523">
        <v>25261.25</v>
      </c>
      <c r="J22" s="524">
        <v>0.28000000000000003</v>
      </c>
      <c r="K22" s="525">
        <v>32334</v>
      </c>
      <c r="L22" s="523">
        <v>931696.26</v>
      </c>
      <c r="M22" s="522">
        <v>10</v>
      </c>
    </row>
    <row r="23" spans="2:13" x14ac:dyDescent="0.2">
      <c r="B23" s="521">
        <v>111906</v>
      </c>
      <c r="C23" s="522" t="s">
        <v>485</v>
      </c>
      <c r="D23" s="516" t="s">
        <v>8</v>
      </c>
      <c r="E23" s="517" t="s">
        <v>683</v>
      </c>
      <c r="F23" s="522">
        <v>30.777049179999999</v>
      </c>
      <c r="G23" s="523">
        <v>20209.61</v>
      </c>
      <c r="H23" s="523">
        <v>621992.16</v>
      </c>
      <c r="I23" s="523">
        <v>20209.61</v>
      </c>
      <c r="J23" s="524">
        <v>0.28000000000000003</v>
      </c>
      <c r="K23" s="525">
        <v>25868</v>
      </c>
      <c r="L23" s="523">
        <v>796140.71</v>
      </c>
      <c r="M23" s="522">
        <v>10</v>
      </c>
    </row>
    <row r="24" spans="2:13" x14ac:dyDescent="0.2">
      <c r="B24" s="521">
        <v>190005</v>
      </c>
      <c r="C24" s="522" t="s">
        <v>573</v>
      </c>
      <c r="D24" s="516" t="s">
        <v>2</v>
      </c>
      <c r="E24" s="517" t="s">
        <v>684</v>
      </c>
      <c r="F24" s="522">
        <v>3.0163934430000001</v>
      </c>
      <c r="G24" s="523">
        <v>174928.81</v>
      </c>
      <c r="H24" s="523">
        <v>527654.12</v>
      </c>
      <c r="I24" s="523">
        <v>174928.81</v>
      </c>
      <c r="J24" s="524">
        <v>0.28000000000000003</v>
      </c>
      <c r="K24" s="525">
        <v>223909</v>
      </c>
      <c r="L24" s="523">
        <v>675397.64</v>
      </c>
      <c r="M24" s="522">
        <v>4</v>
      </c>
    </row>
    <row r="25" spans="2:13" x14ac:dyDescent="0.2">
      <c r="B25" s="521">
        <v>111917</v>
      </c>
      <c r="C25" s="522" t="s">
        <v>547</v>
      </c>
      <c r="D25" s="516" t="s">
        <v>8</v>
      </c>
      <c r="E25" s="517" t="s">
        <v>685</v>
      </c>
      <c r="F25" s="522">
        <v>275</v>
      </c>
      <c r="G25" s="523">
        <v>1228.02</v>
      </c>
      <c r="H25" s="523">
        <v>337704.51</v>
      </c>
      <c r="I25" s="523">
        <v>1228.02</v>
      </c>
      <c r="J25" s="524">
        <v>0.28000000000000003</v>
      </c>
      <c r="K25" s="525">
        <v>1572</v>
      </c>
      <c r="L25" s="523">
        <v>432300</v>
      </c>
      <c r="M25" s="522">
        <v>3</v>
      </c>
    </row>
    <row r="26" spans="2:13" x14ac:dyDescent="0.2">
      <c r="B26" s="521">
        <v>190003</v>
      </c>
      <c r="C26" s="522" t="s">
        <v>445</v>
      </c>
      <c r="D26" s="516" t="s">
        <v>2</v>
      </c>
      <c r="E26" s="517" t="s">
        <v>686</v>
      </c>
      <c r="F26" s="522">
        <v>7.8308250470000003</v>
      </c>
      <c r="G26" s="523">
        <v>174928.81</v>
      </c>
      <c r="H26" s="523">
        <v>1369836.91</v>
      </c>
      <c r="I26" s="523">
        <v>174928.81</v>
      </c>
      <c r="J26" s="524">
        <v>0.28000000000000003</v>
      </c>
      <c r="K26" s="525">
        <v>223909</v>
      </c>
      <c r="L26" s="523">
        <v>1753392.21</v>
      </c>
      <c r="M26" s="522">
        <v>14</v>
      </c>
    </row>
    <row r="27" spans="2:13" x14ac:dyDescent="0.2">
      <c r="B27" s="521">
        <v>111909</v>
      </c>
      <c r="C27" s="522" t="s">
        <v>470</v>
      </c>
      <c r="D27" s="516" t="s">
        <v>2</v>
      </c>
      <c r="E27" s="517" t="s">
        <v>687</v>
      </c>
      <c r="F27" s="522">
        <v>14.05576458</v>
      </c>
      <c r="G27" s="523">
        <v>127091.44</v>
      </c>
      <c r="H27" s="523">
        <v>1786367.36</v>
      </c>
      <c r="I27" s="523">
        <v>127091.44</v>
      </c>
      <c r="J27" s="524">
        <v>0.28000000000000003</v>
      </c>
      <c r="K27" s="525">
        <v>162677</v>
      </c>
      <c r="L27" s="523">
        <v>2286549.61</v>
      </c>
      <c r="M27" s="522">
        <v>23</v>
      </c>
    </row>
    <row r="28" spans="2:13" x14ac:dyDescent="0.2">
      <c r="B28" s="521">
        <v>111884</v>
      </c>
      <c r="C28" s="522" t="s">
        <v>551</v>
      </c>
      <c r="D28" s="516" t="s">
        <v>114</v>
      </c>
      <c r="E28" s="517" t="s">
        <v>688</v>
      </c>
      <c r="F28" s="522">
        <v>0</v>
      </c>
      <c r="G28" s="523">
        <v>1000</v>
      </c>
      <c r="H28" s="523">
        <v>0</v>
      </c>
      <c r="I28" s="523">
        <v>1000</v>
      </c>
      <c r="J28" s="524">
        <v>0.28000000000000003</v>
      </c>
      <c r="K28" s="525">
        <v>1280</v>
      </c>
      <c r="L28" s="523">
        <v>0</v>
      </c>
      <c r="M28" s="522">
        <v>5</v>
      </c>
    </row>
    <row r="29" spans="2:13" x14ac:dyDescent="0.2">
      <c r="B29" s="521">
        <v>111886</v>
      </c>
      <c r="C29" s="522" t="s">
        <v>569</v>
      </c>
      <c r="D29" s="516" t="s">
        <v>114</v>
      </c>
      <c r="E29" s="517" t="s">
        <v>689</v>
      </c>
      <c r="F29" s="522">
        <v>0</v>
      </c>
      <c r="G29" s="523">
        <v>3700</v>
      </c>
      <c r="H29" s="523">
        <v>0</v>
      </c>
      <c r="I29" s="523">
        <v>3700</v>
      </c>
      <c r="J29" s="524">
        <v>0.28000000000000003</v>
      </c>
      <c r="K29" s="525">
        <v>4736</v>
      </c>
      <c r="L29" s="523">
        <v>0</v>
      </c>
      <c r="M29" s="522">
        <v>5</v>
      </c>
    </row>
    <row r="30" spans="2:13" x14ac:dyDescent="0.2">
      <c r="B30" s="521">
        <v>150639</v>
      </c>
      <c r="C30" s="522" t="s">
        <v>690</v>
      </c>
      <c r="D30" s="516" t="s">
        <v>8</v>
      </c>
      <c r="E30" s="517" t="s">
        <v>691</v>
      </c>
      <c r="F30" s="522">
        <v>1</v>
      </c>
      <c r="G30" s="523">
        <v>70924</v>
      </c>
      <c r="H30" s="523">
        <v>70924</v>
      </c>
      <c r="I30" s="523">
        <v>70924</v>
      </c>
      <c r="J30" s="524">
        <v>0.28000000000000003</v>
      </c>
      <c r="K30" s="525">
        <v>90783</v>
      </c>
      <c r="L30" s="523">
        <v>90783</v>
      </c>
      <c r="M30" s="522">
        <v>1</v>
      </c>
    </row>
    <row r="31" spans="2:13" x14ac:dyDescent="0.2">
      <c r="B31" s="521">
        <v>150640</v>
      </c>
      <c r="C31" s="522" t="s">
        <v>692</v>
      </c>
      <c r="D31" s="516" t="s">
        <v>8</v>
      </c>
      <c r="E31" s="517" t="s">
        <v>693</v>
      </c>
      <c r="F31" s="522">
        <v>1</v>
      </c>
      <c r="G31" s="523">
        <v>68901</v>
      </c>
      <c r="H31" s="523">
        <v>68901</v>
      </c>
      <c r="I31" s="523">
        <v>68901</v>
      </c>
      <c r="J31" s="524">
        <v>0.28000000000000003</v>
      </c>
      <c r="K31" s="525">
        <v>88193</v>
      </c>
      <c r="L31" s="523">
        <v>88193</v>
      </c>
      <c r="M31" s="522">
        <v>1</v>
      </c>
    </row>
    <row r="32" spans="2:13" x14ac:dyDescent="0.2">
      <c r="B32" s="521">
        <v>150638</v>
      </c>
      <c r="C32" s="522" t="s">
        <v>694</v>
      </c>
      <c r="D32" s="516" t="s">
        <v>8</v>
      </c>
      <c r="E32" s="517" t="s">
        <v>695</v>
      </c>
      <c r="F32" s="522">
        <v>1</v>
      </c>
      <c r="G32" s="523">
        <v>73304</v>
      </c>
      <c r="H32" s="523">
        <v>73304</v>
      </c>
      <c r="I32" s="523">
        <v>73304</v>
      </c>
      <c r="J32" s="524">
        <v>0.28000000000000003</v>
      </c>
      <c r="K32" s="525">
        <v>93829</v>
      </c>
      <c r="L32" s="523">
        <v>93829</v>
      </c>
      <c r="M32" s="522">
        <v>1</v>
      </c>
    </row>
    <row r="33" spans="2:13" x14ac:dyDescent="0.2">
      <c r="B33" s="521">
        <v>150641</v>
      </c>
      <c r="C33" s="522" t="s">
        <v>696</v>
      </c>
      <c r="D33" s="516" t="s">
        <v>8</v>
      </c>
      <c r="E33" s="517" t="s">
        <v>697</v>
      </c>
      <c r="F33" s="522">
        <v>1</v>
      </c>
      <c r="G33" s="523">
        <v>67711</v>
      </c>
      <c r="H33" s="523">
        <v>67711</v>
      </c>
      <c r="I33" s="523">
        <v>67711</v>
      </c>
      <c r="J33" s="524">
        <v>0.28000000000000003</v>
      </c>
      <c r="K33" s="525">
        <v>86670</v>
      </c>
      <c r="L33" s="523">
        <v>86670</v>
      </c>
      <c r="M33" s="522">
        <v>1</v>
      </c>
    </row>
    <row r="34" spans="2:13" x14ac:dyDescent="0.2">
      <c r="B34" s="521">
        <v>150636</v>
      </c>
      <c r="C34" s="522" t="s">
        <v>698</v>
      </c>
      <c r="D34" s="516" t="s">
        <v>8</v>
      </c>
      <c r="E34" s="517" t="s">
        <v>699</v>
      </c>
      <c r="F34" s="522">
        <v>1</v>
      </c>
      <c r="G34" s="523">
        <v>10681</v>
      </c>
      <c r="H34" s="523">
        <v>10681</v>
      </c>
      <c r="I34" s="523">
        <v>10681</v>
      </c>
      <c r="J34" s="524">
        <v>0.28000000000000003</v>
      </c>
      <c r="K34" s="525">
        <v>13672</v>
      </c>
      <c r="L34" s="523">
        <v>13672</v>
      </c>
      <c r="M34" s="522">
        <v>1</v>
      </c>
    </row>
    <row r="35" spans="2:13" x14ac:dyDescent="0.2">
      <c r="B35" s="521">
        <v>150628</v>
      </c>
      <c r="C35" s="522" t="s">
        <v>700</v>
      </c>
      <c r="D35" s="516" t="s">
        <v>107</v>
      </c>
      <c r="E35" s="517" t="s">
        <v>701</v>
      </c>
      <c r="F35" s="522">
        <v>17.544</v>
      </c>
      <c r="G35" s="523">
        <v>40306</v>
      </c>
      <c r="H35" s="523">
        <v>707128.46</v>
      </c>
      <c r="I35" s="523">
        <v>40306</v>
      </c>
      <c r="J35" s="524">
        <v>0.28000000000000003</v>
      </c>
      <c r="K35" s="525">
        <v>51592</v>
      </c>
      <c r="L35" s="523">
        <v>905130.05</v>
      </c>
      <c r="M35" s="522">
        <v>24</v>
      </c>
    </row>
    <row r="36" spans="2:13" x14ac:dyDescent="0.2">
      <c r="B36" s="521">
        <v>150633</v>
      </c>
      <c r="C36" s="522" t="s">
        <v>599</v>
      </c>
      <c r="D36" s="516" t="s">
        <v>600</v>
      </c>
      <c r="E36" s="517" t="s">
        <v>702</v>
      </c>
      <c r="F36" s="522">
        <v>0</v>
      </c>
      <c r="G36" s="523">
        <v>65154</v>
      </c>
      <c r="H36" s="523">
        <v>0</v>
      </c>
      <c r="I36" s="523">
        <v>65154</v>
      </c>
      <c r="J36" s="524">
        <v>0.28000000000000003</v>
      </c>
      <c r="K36" s="525">
        <v>83397</v>
      </c>
      <c r="L36" s="523">
        <v>0</v>
      </c>
      <c r="M36" s="522">
        <v>2</v>
      </c>
    </row>
    <row r="37" spans="2:13" x14ac:dyDescent="0.2">
      <c r="B37" s="521">
        <v>150945</v>
      </c>
      <c r="C37" s="522" t="s">
        <v>586</v>
      </c>
      <c r="D37" s="516" t="s">
        <v>587</v>
      </c>
      <c r="E37" s="517" t="s">
        <v>703</v>
      </c>
      <c r="F37" s="522">
        <v>2.5000000000000001E-3</v>
      </c>
      <c r="G37" s="523">
        <v>93995</v>
      </c>
      <c r="H37" s="523">
        <v>234.99</v>
      </c>
      <c r="I37" s="523">
        <v>93995</v>
      </c>
      <c r="J37" s="524">
        <v>0.28000000000000003</v>
      </c>
      <c r="K37" s="525">
        <v>120314</v>
      </c>
      <c r="L37" s="523">
        <v>300.79000000000002</v>
      </c>
      <c r="M37" s="522">
        <v>1</v>
      </c>
    </row>
    <row r="38" spans="2:13" x14ac:dyDescent="0.2">
      <c r="B38" s="521">
        <v>150624</v>
      </c>
      <c r="C38" s="522" t="s">
        <v>704</v>
      </c>
      <c r="D38" s="516" t="s">
        <v>600</v>
      </c>
      <c r="E38" s="517" t="s">
        <v>705</v>
      </c>
      <c r="F38" s="522">
        <v>6.7195625000000003</v>
      </c>
      <c r="G38" s="523">
        <v>93952</v>
      </c>
      <c r="H38" s="523">
        <v>631316.34</v>
      </c>
      <c r="I38" s="523">
        <v>93952</v>
      </c>
      <c r="J38" s="524">
        <v>0.28000000000000003</v>
      </c>
      <c r="K38" s="525">
        <v>120259</v>
      </c>
      <c r="L38" s="523">
        <v>808087.87</v>
      </c>
      <c r="M38" s="522">
        <v>25</v>
      </c>
    </row>
    <row r="39" spans="2:13" x14ac:dyDescent="0.2">
      <c r="B39" s="521">
        <v>150405</v>
      </c>
      <c r="C39" s="522" t="s">
        <v>596</v>
      </c>
      <c r="D39" s="516" t="s">
        <v>2</v>
      </c>
      <c r="E39" s="526" t="s">
        <v>706</v>
      </c>
      <c r="F39" s="522">
        <v>85.595310620000006</v>
      </c>
      <c r="G39" s="523">
        <v>26161</v>
      </c>
      <c r="H39" s="523">
        <v>2239258.92</v>
      </c>
      <c r="I39" s="523">
        <v>26161</v>
      </c>
      <c r="J39" s="524">
        <v>0.28000000000000003</v>
      </c>
      <c r="K39" s="525">
        <v>33486</v>
      </c>
      <c r="L39" s="523">
        <v>2866244.57</v>
      </c>
      <c r="M39" s="522">
        <v>2</v>
      </c>
    </row>
    <row r="40" spans="2:13" x14ac:dyDescent="0.2">
      <c r="B40" s="521">
        <v>190010</v>
      </c>
      <c r="C40" s="522" t="s">
        <v>596</v>
      </c>
      <c r="D40" s="516" t="s">
        <v>2</v>
      </c>
      <c r="E40" s="526" t="s">
        <v>706</v>
      </c>
      <c r="F40" s="522">
        <v>77.555566670000005</v>
      </c>
      <c r="G40" s="523">
        <v>26161</v>
      </c>
      <c r="H40" s="523">
        <v>2028931.18</v>
      </c>
      <c r="I40" s="523">
        <v>26161</v>
      </c>
      <c r="J40" s="524">
        <v>0.28000000000000003</v>
      </c>
      <c r="K40" s="525">
        <v>33486</v>
      </c>
      <c r="L40" s="523">
        <v>2597025.71</v>
      </c>
      <c r="M40" s="522">
        <v>2</v>
      </c>
    </row>
    <row r="41" spans="2:13" x14ac:dyDescent="0.2">
      <c r="B41" s="521">
        <v>150637</v>
      </c>
      <c r="C41" s="522" t="s">
        <v>707</v>
      </c>
      <c r="D41" s="516" t="s">
        <v>2</v>
      </c>
      <c r="E41" s="517" t="s">
        <v>708</v>
      </c>
      <c r="F41" s="522">
        <v>0.5</v>
      </c>
      <c r="G41" s="523">
        <v>351050</v>
      </c>
      <c r="H41" s="523">
        <v>175525</v>
      </c>
      <c r="I41" s="523">
        <v>351050</v>
      </c>
      <c r="J41" s="524">
        <v>0.28000000000000003</v>
      </c>
      <c r="K41" s="525">
        <v>449344</v>
      </c>
      <c r="L41" s="523">
        <v>224672</v>
      </c>
      <c r="M41" s="522">
        <v>1</v>
      </c>
    </row>
    <row r="42" spans="2:13" x14ac:dyDescent="0.2">
      <c r="B42" s="521">
        <v>111913</v>
      </c>
      <c r="C42" s="522" t="s">
        <v>543</v>
      </c>
      <c r="D42" s="516" t="s">
        <v>2</v>
      </c>
      <c r="E42" s="517" t="s">
        <v>709</v>
      </c>
      <c r="F42" s="522">
        <v>2475</v>
      </c>
      <c r="G42" s="523">
        <v>535.5</v>
      </c>
      <c r="H42" s="523">
        <v>1325362.5</v>
      </c>
      <c r="I42" s="523">
        <v>535.5</v>
      </c>
      <c r="J42" s="524">
        <v>0.28000000000000003</v>
      </c>
      <c r="K42" s="525">
        <v>685</v>
      </c>
      <c r="L42" s="523">
        <v>1695375</v>
      </c>
      <c r="M42" s="522">
        <v>3</v>
      </c>
    </row>
    <row r="43" spans="2:13" x14ac:dyDescent="0.2">
      <c r="B43" s="521">
        <v>150626</v>
      </c>
      <c r="C43" s="522" t="s">
        <v>710</v>
      </c>
      <c r="D43" s="516" t="s">
        <v>2</v>
      </c>
      <c r="E43" s="517" t="s">
        <v>711</v>
      </c>
      <c r="F43" s="522">
        <v>1.6666666670000001</v>
      </c>
      <c r="G43" s="523">
        <v>6500</v>
      </c>
      <c r="H43" s="523">
        <v>10833.33</v>
      </c>
      <c r="I43" s="523">
        <v>6500</v>
      </c>
      <c r="J43" s="524">
        <v>0.28000000000000003</v>
      </c>
      <c r="K43" s="525">
        <v>8320</v>
      </c>
      <c r="L43" s="523">
        <v>13866.67</v>
      </c>
      <c r="M43" s="522">
        <v>25</v>
      </c>
    </row>
    <row r="44" spans="2:13" x14ac:dyDescent="0.2">
      <c r="B44" s="521">
        <v>150222</v>
      </c>
      <c r="C44" s="522" t="s">
        <v>712</v>
      </c>
      <c r="D44" s="516" t="s">
        <v>2</v>
      </c>
      <c r="E44" s="517" t="s">
        <v>713</v>
      </c>
      <c r="F44" s="522">
        <v>12.837999999999999</v>
      </c>
      <c r="G44" s="523">
        <v>61880</v>
      </c>
      <c r="H44" s="523">
        <v>794415.44</v>
      </c>
      <c r="I44" s="523">
        <v>61880</v>
      </c>
      <c r="J44" s="524">
        <v>0.28000000000000003</v>
      </c>
      <c r="K44" s="525">
        <v>79206</v>
      </c>
      <c r="L44" s="523">
        <v>1016846.63</v>
      </c>
      <c r="M44" s="522">
        <v>25</v>
      </c>
    </row>
    <row r="45" spans="2:13" x14ac:dyDescent="0.2">
      <c r="B45" s="521">
        <v>111757</v>
      </c>
      <c r="C45" s="522" t="s">
        <v>522</v>
      </c>
      <c r="D45" s="516" t="s">
        <v>2</v>
      </c>
      <c r="E45" s="517" t="s">
        <v>714</v>
      </c>
      <c r="F45" s="522">
        <v>23.176378400000001</v>
      </c>
      <c r="G45" s="523">
        <v>35343</v>
      </c>
      <c r="H45" s="523">
        <v>819122.74</v>
      </c>
      <c r="I45" s="523">
        <v>35343</v>
      </c>
      <c r="J45" s="524">
        <v>0.28000000000000003</v>
      </c>
      <c r="K45" s="525">
        <v>45239</v>
      </c>
      <c r="L45" s="523">
        <v>1048476.18</v>
      </c>
      <c r="M45" s="522">
        <v>15</v>
      </c>
    </row>
    <row r="46" spans="2:13" x14ac:dyDescent="0.2">
      <c r="B46" s="521">
        <v>101651</v>
      </c>
      <c r="C46" s="522" t="s">
        <v>605</v>
      </c>
      <c r="D46" s="516" t="s">
        <v>606</v>
      </c>
      <c r="E46" s="517" t="s">
        <v>715</v>
      </c>
      <c r="F46" s="522">
        <v>1.5720000000000001</v>
      </c>
      <c r="G46" s="523">
        <v>23282</v>
      </c>
      <c r="H46" s="523">
        <v>36599.300000000003</v>
      </c>
      <c r="I46" s="523">
        <v>23282</v>
      </c>
      <c r="J46" s="524">
        <v>0.28000000000000003</v>
      </c>
      <c r="K46" s="525">
        <v>29801</v>
      </c>
      <c r="L46" s="523">
        <v>46847.17</v>
      </c>
      <c r="M46" s="522">
        <v>2</v>
      </c>
    </row>
    <row r="47" spans="2:13" x14ac:dyDescent="0.2">
      <c r="B47" s="521">
        <v>150630</v>
      </c>
      <c r="C47" s="522" t="s">
        <v>716</v>
      </c>
      <c r="D47" s="516" t="s">
        <v>2</v>
      </c>
      <c r="E47" s="517" t="s">
        <v>717</v>
      </c>
      <c r="F47" s="522">
        <v>5.0999999999999996</v>
      </c>
      <c r="G47" s="523">
        <v>11188.03</v>
      </c>
      <c r="H47" s="523">
        <v>57058.95</v>
      </c>
      <c r="I47" s="523">
        <v>11188.03</v>
      </c>
      <c r="J47" s="524">
        <v>0.28000000000000003</v>
      </c>
      <c r="K47" s="525">
        <v>14321</v>
      </c>
      <c r="L47" s="523">
        <v>73037.100000000006</v>
      </c>
      <c r="M47" s="522">
        <v>2</v>
      </c>
    </row>
    <row r="48" spans="2:13" x14ac:dyDescent="0.2">
      <c r="B48" s="521">
        <v>111911</v>
      </c>
      <c r="C48" s="522" t="s">
        <v>541</v>
      </c>
      <c r="D48" s="516" t="s">
        <v>2</v>
      </c>
      <c r="E48" s="517" t="s">
        <v>718</v>
      </c>
      <c r="F48" s="522">
        <v>275</v>
      </c>
      <c r="G48" s="523">
        <v>8655.42</v>
      </c>
      <c r="H48" s="523">
        <v>2380240.2999999998</v>
      </c>
      <c r="I48" s="523">
        <v>8655.42</v>
      </c>
      <c r="J48" s="524">
        <v>0.28000000000000003</v>
      </c>
      <c r="K48" s="525">
        <v>11079</v>
      </c>
      <c r="L48" s="523">
        <v>3046725</v>
      </c>
      <c r="M48" s="522">
        <v>3</v>
      </c>
    </row>
    <row r="49" spans="2:13" x14ac:dyDescent="0.2">
      <c r="B49" s="521">
        <v>111914</v>
      </c>
      <c r="C49" s="522" t="s">
        <v>544</v>
      </c>
      <c r="D49" s="516" t="s">
        <v>2</v>
      </c>
      <c r="E49" s="517" t="s">
        <v>719</v>
      </c>
      <c r="F49" s="522">
        <v>34.375</v>
      </c>
      <c r="G49" s="523">
        <v>22610</v>
      </c>
      <c r="H49" s="523">
        <v>777218.75</v>
      </c>
      <c r="I49" s="523">
        <v>22610</v>
      </c>
      <c r="J49" s="524">
        <v>0.28000000000000003</v>
      </c>
      <c r="K49" s="525">
        <v>28941</v>
      </c>
      <c r="L49" s="523">
        <v>994846.88</v>
      </c>
      <c r="M49" s="522">
        <v>3</v>
      </c>
    </row>
    <row r="50" spans="2:13" x14ac:dyDescent="0.2">
      <c r="B50" s="521">
        <v>111915</v>
      </c>
      <c r="C50" s="522" t="s">
        <v>545</v>
      </c>
      <c r="D50" s="516" t="s">
        <v>2</v>
      </c>
      <c r="E50" s="517" t="s">
        <v>720</v>
      </c>
      <c r="F50" s="522">
        <v>61.111111110000003</v>
      </c>
      <c r="G50" s="523">
        <v>21876.22</v>
      </c>
      <c r="H50" s="523">
        <v>1336879.8799999999</v>
      </c>
      <c r="I50" s="523">
        <v>21876.22</v>
      </c>
      <c r="J50" s="524">
        <v>0.28000000000000003</v>
      </c>
      <c r="K50" s="525">
        <v>28002</v>
      </c>
      <c r="L50" s="523">
        <v>1711233.33</v>
      </c>
      <c r="M50" s="522">
        <v>3</v>
      </c>
    </row>
    <row r="51" spans="2:13" x14ac:dyDescent="0.2">
      <c r="B51" s="521">
        <v>119086</v>
      </c>
      <c r="C51" s="522" t="s">
        <v>601</v>
      </c>
      <c r="D51" s="516" t="s">
        <v>2</v>
      </c>
      <c r="E51" s="517" t="s">
        <v>721</v>
      </c>
      <c r="F51" s="522">
        <v>1.02</v>
      </c>
      <c r="G51" s="523">
        <v>19500</v>
      </c>
      <c r="H51" s="523">
        <v>19890</v>
      </c>
      <c r="I51" s="523">
        <v>19500</v>
      </c>
      <c r="J51" s="524">
        <v>0.28000000000000003</v>
      </c>
      <c r="K51" s="525">
        <v>24960</v>
      </c>
      <c r="L51" s="523">
        <v>25459.200000000001</v>
      </c>
      <c r="M51" s="522">
        <v>1</v>
      </c>
    </row>
    <row r="52" spans="2:13" x14ac:dyDescent="0.2">
      <c r="B52" s="521">
        <v>150795</v>
      </c>
      <c r="C52" s="522" t="s">
        <v>601</v>
      </c>
      <c r="D52" s="516" t="s">
        <v>600</v>
      </c>
      <c r="E52" s="517" t="s">
        <v>722</v>
      </c>
      <c r="F52" s="522">
        <v>1.01757849</v>
      </c>
      <c r="G52" s="523">
        <v>19500</v>
      </c>
      <c r="H52" s="523">
        <v>19842.78</v>
      </c>
      <c r="I52" s="523">
        <v>19500</v>
      </c>
      <c r="J52" s="524">
        <v>0.28000000000000003</v>
      </c>
      <c r="K52" s="525">
        <v>24960</v>
      </c>
      <c r="L52" s="523">
        <v>25398.76</v>
      </c>
      <c r="M52" s="522">
        <v>1</v>
      </c>
    </row>
    <row r="53" spans="2:13" x14ac:dyDescent="0.2">
      <c r="B53" s="527">
        <v>150495</v>
      </c>
      <c r="C53" s="522" t="s">
        <v>723</v>
      </c>
      <c r="D53" s="516" t="s">
        <v>2</v>
      </c>
      <c r="E53" s="526" t="s">
        <v>724</v>
      </c>
      <c r="F53" s="522">
        <v>5.25</v>
      </c>
      <c r="G53" s="523">
        <v>495.32</v>
      </c>
      <c r="H53" s="523">
        <v>2600.4299999999998</v>
      </c>
      <c r="I53" s="523">
        <v>495.32</v>
      </c>
      <c r="J53" s="524">
        <v>0.28000000000000003</v>
      </c>
      <c r="K53" s="525">
        <v>634</v>
      </c>
      <c r="L53" s="523">
        <v>3328.5</v>
      </c>
      <c r="M53" s="522">
        <v>2</v>
      </c>
    </row>
    <row r="54" spans="2:13" x14ac:dyDescent="0.2">
      <c r="B54" s="527">
        <v>150495</v>
      </c>
      <c r="C54" s="522" t="s">
        <v>723</v>
      </c>
      <c r="D54" s="516" t="s">
        <v>2</v>
      </c>
      <c r="E54" s="526" t="s">
        <v>724</v>
      </c>
      <c r="F54" s="522">
        <v>5.25</v>
      </c>
      <c r="G54" s="523">
        <v>495.32</v>
      </c>
      <c r="H54" s="523">
        <v>2600.46</v>
      </c>
      <c r="I54" s="523">
        <v>495.32</v>
      </c>
      <c r="J54" s="524">
        <v>0.28000000000000003</v>
      </c>
      <c r="K54" s="525">
        <v>634</v>
      </c>
      <c r="L54" s="523">
        <v>3328.5</v>
      </c>
      <c r="M54" s="522">
        <v>2</v>
      </c>
    </row>
    <row r="55" spans="2:13" x14ac:dyDescent="0.2">
      <c r="B55" s="521">
        <v>111851</v>
      </c>
      <c r="C55" s="522" t="s">
        <v>521</v>
      </c>
      <c r="D55" s="516" t="s">
        <v>2</v>
      </c>
      <c r="E55" s="517" t="s">
        <v>725</v>
      </c>
      <c r="F55" s="522">
        <v>28.5</v>
      </c>
      <c r="G55" s="523">
        <v>56</v>
      </c>
      <c r="H55" s="523">
        <v>1596</v>
      </c>
      <c r="I55" s="523">
        <v>56</v>
      </c>
      <c r="J55" s="524">
        <v>0.28000000000000003</v>
      </c>
      <c r="K55" s="525">
        <v>72</v>
      </c>
      <c r="L55" s="523">
        <v>2052</v>
      </c>
      <c r="M55" s="522">
        <v>2</v>
      </c>
    </row>
    <row r="56" spans="2:13" x14ac:dyDescent="0.2">
      <c r="B56" s="521">
        <v>111916</v>
      </c>
      <c r="C56" s="522" t="s">
        <v>546</v>
      </c>
      <c r="D56" s="516" t="s">
        <v>2</v>
      </c>
      <c r="E56" s="517" t="s">
        <v>726</v>
      </c>
      <c r="F56" s="522">
        <v>866.25</v>
      </c>
      <c r="G56" s="523">
        <v>45.22</v>
      </c>
      <c r="H56" s="523">
        <v>39171.83</v>
      </c>
      <c r="I56" s="523">
        <v>45.22</v>
      </c>
      <c r="J56" s="524">
        <v>0.28000000000000003</v>
      </c>
      <c r="K56" s="525">
        <v>58</v>
      </c>
      <c r="L56" s="523">
        <v>50242.5</v>
      </c>
      <c r="M56" s="522">
        <v>3</v>
      </c>
    </row>
    <row r="57" spans="2:13" x14ac:dyDescent="0.2">
      <c r="B57" s="521">
        <v>111853</v>
      </c>
      <c r="C57" s="522" t="s">
        <v>533</v>
      </c>
      <c r="D57" s="516" t="s">
        <v>2</v>
      </c>
      <c r="E57" s="517" t="s">
        <v>727</v>
      </c>
      <c r="F57" s="522">
        <v>92.625</v>
      </c>
      <c r="G57" s="523">
        <v>317</v>
      </c>
      <c r="H57" s="523">
        <v>29362.13</v>
      </c>
      <c r="I57" s="523">
        <v>317</v>
      </c>
      <c r="J57" s="524">
        <v>0.28000000000000003</v>
      </c>
      <c r="K57" s="525">
        <v>406</v>
      </c>
      <c r="L57" s="523">
        <v>37605.75</v>
      </c>
      <c r="M57" s="522">
        <v>10</v>
      </c>
    </row>
    <row r="58" spans="2:13" x14ac:dyDescent="0.2">
      <c r="B58" s="521">
        <v>100003</v>
      </c>
      <c r="C58" s="522" t="s">
        <v>597</v>
      </c>
      <c r="D58" s="516" t="s">
        <v>2</v>
      </c>
      <c r="E58" s="526" t="s">
        <v>728</v>
      </c>
      <c r="F58" s="522">
        <v>353.29</v>
      </c>
      <c r="G58" s="523">
        <v>90.44</v>
      </c>
      <c r="H58" s="523">
        <v>31951.55</v>
      </c>
      <c r="I58" s="523">
        <v>90.44</v>
      </c>
      <c r="J58" s="524">
        <v>0.28000000000000003</v>
      </c>
      <c r="K58" s="525">
        <v>116</v>
      </c>
      <c r="L58" s="523">
        <v>40981.64</v>
      </c>
      <c r="M58" s="522">
        <v>1</v>
      </c>
    </row>
    <row r="59" spans="2:13" x14ac:dyDescent="0.2">
      <c r="B59" s="521">
        <v>150190</v>
      </c>
      <c r="C59" s="522" t="s">
        <v>597</v>
      </c>
      <c r="D59" s="516" t="s">
        <v>2</v>
      </c>
      <c r="E59" s="526" t="s">
        <v>728</v>
      </c>
      <c r="F59" s="522">
        <v>352.451279</v>
      </c>
      <c r="G59" s="523">
        <v>90.44</v>
      </c>
      <c r="H59" s="523">
        <v>31875.69</v>
      </c>
      <c r="I59" s="523">
        <v>90.44</v>
      </c>
      <c r="J59" s="524">
        <v>0.28000000000000003</v>
      </c>
      <c r="K59" s="525">
        <v>116</v>
      </c>
      <c r="L59" s="523">
        <v>40884.35</v>
      </c>
      <c r="M59" s="522">
        <v>1</v>
      </c>
    </row>
    <row r="60" spans="2:13" x14ac:dyDescent="0.2">
      <c r="B60" s="521">
        <v>100004</v>
      </c>
      <c r="C60" s="522" t="s">
        <v>598</v>
      </c>
      <c r="D60" s="516" t="s">
        <v>2</v>
      </c>
      <c r="E60" s="526" t="s">
        <v>729</v>
      </c>
      <c r="F60" s="522">
        <v>353.29</v>
      </c>
      <c r="G60" s="523">
        <v>44.03</v>
      </c>
      <c r="H60" s="523">
        <v>15555.36</v>
      </c>
      <c r="I60" s="523">
        <v>44.03</v>
      </c>
      <c r="J60" s="524">
        <v>0.28000000000000003</v>
      </c>
      <c r="K60" s="525">
        <v>56</v>
      </c>
      <c r="L60" s="523">
        <v>19784.240000000002</v>
      </c>
      <c r="M60" s="522">
        <v>1</v>
      </c>
    </row>
    <row r="61" spans="2:13" x14ac:dyDescent="0.2">
      <c r="B61" s="521">
        <v>103165</v>
      </c>
      <c r="C61" s="522" t="s">
        <v>598</v>
      </c>
      <c r="D61" s="516" t="s">
        <v>2</v>
      </c>
      <c r="E61" s="526" t="s">
        <v>729</v>
      </c>
      <c r="F61" s="522">
        <v>352.451279</v>
      </c>
      <c r="G61" s="523">
        <v>44.03</v>
      </c>
      <c r="H61" s="523">
        <v>15518.43</v>
      </c>
      <c r="I61" s="523">
        <v>44.03</v>
      </c>
      <c r="J61" s="524">
        <v>0.28000000000000003</v>
      </c>
      <c r="K61" s="525">
        <v>56</v>
      </c>
      <c r="L61" s="523">
        <v>19737.27</v>
      </c>
      <c r="M61" s="522">
        <v>1</v>
      </c>
    </row>
    <row r="62" spans="2:13" x14ac:dyDescent="0.2">
      <c r="B62" s="521">
        <v>102439</v>
      </c>
      <c r="C62" s="522" t="s">
        <v>603</v>
      </c>
      <c r="D62" s="516" t="s">
        <v>604</v>
      </c>
      <c r="E62" s="526" t="s">
        <v>730</v>
      </c>
      <c r="F62" s="522">
        <v>1.01757849</v>
      </c>
      <c r="G62" s="523">
        <v>3500</v>
      </c>
      <c r="H62" s="523">
        <v>3561.52</v>
      </c>
      <c r="I62" s="523">
        <v>3500</v>
      </c>
      <c r="J62" s="524">
        <v>0.28000000000000003</v>
      </c>
      <c r="K62" s="525">
        <v>4480</v>
      </c>
      <c r="L62" s="523">
        <v>4558.75</v>
      </c>
      <c r="M62" s="522">
        <v>1</v>
      </c>
    </row>
    <row r="63" spans="2:13" x14ac:dyDescent="0.2">
      <c r="B63" s="521">
        <v>107120</v>
      </c>
      <c r="C63" s="522" t="s">
        <v>603</v>
      </c>
      <c r="D63" s="516" t="s">
        <v>606</v>
      </c>
      <c r="E63" s="517" t="s">
        <v>731</v>
      </c>
      <c r="F63" s="522">
        <v>1.02</v>
      </c>
      <c r="G63" s="523">
        <v>3500</v>
      </c>
      <c r="H63" s="523">
        <v>3570</v>
      </c>
      <c r="I63" s="523">
        <v>3500</v>
      </c>
      <c r="J63" s="524">
        <v>0.28000000000000003</v>
      </c>
      <c r="K63" s="525">
        <v>4480</v>
      </c>
      <c r="L63" s="523">
        <v>4569.6000000000004</v>
      </c>
      <c r="M63" s="522">
        <v>1</v>
      </c>
    </row>
    <row r="64" spans="2:13" x14ac:dyDescent="0.2">
      <c r="B64" s="521">
        <v>150627</v>
      </c>
      <c r="C64" s="522" t="s">
        <v>603</v>
      </c>
      <c r="D64" s="516" t="s">
        <v>604</v>
      </c>
      <c r="E64" s="526" t="s">
        <v>730</v>
      </c>
      <c r="F64" s="522">
        <v>7.5</v>
      </c>
      <c r="G64" s="523">
        <v>4165</v>
      </c>
      <c r="H64" s="523">
        <v>31237.5</v>
      </c>
      <c r="I64" s="523">
        <v>4165</v>
      </c>
      <c r="J64" s="524">
        <v>0.28000000000000003</v>
      </c>
      <c r="K64" s="525">
        <v>5331</v>
      </c>
      <c r="L64" s="523">
        <v>39982.5</v>
      </c>
      <c r="M64" s="522">
        <v>25</v>
      </c>
    </row>
    <row r="65" spans="2:13" x14ac:dyDescent="0.2">
      <c r="B65" s="147"/>
      <c r="C65" s="147"/>
      <c r="D65" s="147"/>
      <c r="E65" s="147"/>
      <c r="F65" s="147"/>
      <c r="G65" s="147"/>
      <c r="H65" s="147"/>
      <c r="I65" s="147"/>
      <c r="J65" s="504"/>
      <c r="K65" s="504"/>
      <c r="L65" s="147"/>
      <c r="M65" s="147"/>
    </row>
    <row r="66" spans="2:13" x14ac:dyDescent="0.2">
      <c r="B66" s="147"/>
      <c r="C66" s="147"/>
      <c r="D66" s="147"/>
      <c r="E66" s="147"/>
      <c r="F66" s="147"/>
      <c r="G66" s="147"/>
      <c r="H66" s="147"/>
      <c r="I66" s="147"/>
      <c r="J66" s="504"/>
      <c r="K66" s="504"/>
      <c r="L66" s="147"/>
      <c r="M66" s="147"/>
    </row>
    <row r="67" spans="2:13" ht="17" x14ac:dyDescent="0.2">
      <c r="B67" s="505" t="s">
        <v>732</v>
      </c>
      <c r="C67" s="506" t="s">
        <v>447</v>
      </c>
      <c r="D67" s="147"/>
      <c r="E67" s="147"/>
      <c r="F67" s="147"/>
      <c r="G67" s="147"/>
      <c r="H67" s="507">
        <v>5077142453.8500004</v>
      </c>
      <c r="I67" s="147"/>
      <c r="J67" s="504"/>
      <c r="K67" s="504"/>
      <c r="L67" s="507">
        <v>6498734439.8400002</v>
      </c>
      <c r="M67" s="147"/>
    </row>
    <row r="68" spans="2:13" x14ac:dyDescent="0.2">
      <c r="B68" s="508" t="s">
        <v>655</v>
      </c>
      <c r="C68" s="509" t="s">
        <v>656</v>
      </c>
      <c r="D68" s="510" t="s">
        <v>657</v>
      </c>
      <c r="E68" s="511"/>
      <c r="F68" s="509" t="s">
        <v>658</v>
      </c>
      <c r="G68" s="509" t="s">
        <v>659</v>
      </c>
      <c r="H68" s="512" t="s">
        <v>5</v>
      </c>
      <c r="I68" s="509" t="s">
        <v>660</v>
      </c>
      <c r="J68" s="513" t="s">
        <v>661</v>
      </c>
      <c r="K68" s="513" t="s">
        <v>662</v>
      </c>
      <c r="L68" s="512" t="s">
        <v>663</v>
      </c>
      <c r="M68" s="509"/>
    </row>
    <row r="69" spans="2:13" x14ac:dyDescent="0.2">
      <c r="B69" s="514">
        <v>250105</v>
      </c>
      <c r="C69" s="515" t="s">
        <v>448</v>
      </c>
      <c r="D69" s="516" t="s">
        <v>733</v>
      </c>
      <c r="E69" s="526" t="s">
        <v>734</v>
      </c>
      <c r="F69" s="515">
        <v>447.42013320000001</v>
      </c>
      <c r="G69" s="518"/>
      <c r="H69" s="518">
        <v>0</v>
      </c>
      <c r="I69" s="518"/>
      <c r="J69" s="519">
        <v>0.28000000000000003</v>
      </c>
      <c r="K69" s="520">
        <v>0</v>
      </c>
      <c r="L69" s="518">
        <v>0</v>
      </c>
      <c r="M69" s="515">
        <v>49</v>
      </c>
    </row>
    <row r="70" spans="2:13" x14ac:dyDescent="0.2">
      <c r="B70" s="521">
        <v>250118</v>
      </c>
      <c r="C70" s="522" t="s">
        <v>448</v>
      </c>
      <c r="D70" s="516" t="s">
        <v>733</v>
      </c>
      <c r="E70" s="526" t="s">
        <v>734</v>
      </c>
      <c r="F70" s="522">
        <v>2.8308541999999999E-2</v>
      </c>
      <c r="G70" s="523">
        <v>0</v>
      </c>
      <c r="H70" s="523">
        <v>0</v>
      </c>
      <c r="I70" s="523">
        <v>0</v>
      </c>
      <c r="J70" s="524">
        <v>0.28000000000000003</v>
      </c>
      <c r="K70" s="525">
        <v>0</v>
      </c>
      <c r="L70" s="523">
        <v>0</v>
      </c>
      <c r="M70" s="522">
        <v>12</v>
      </c>
    </row>
    <row r="71" spans="2:13" x14ac:dyDescent="0.2">
      <c r="B71" s="527">
        <v>207512</v>
      </c>
      <c r="C71" s="522" t="s">
        <v>629</v>
      </c>
      <c r="D71" s="516" t="s">
        <v>733</v>
      </c>
      <c r="E71" s="517" t="s">
        <v>735</v>
      </c>
      <c r="F71" s="522">
        <v>24.9725</v>
      </c>
      <c r="G71" s="523">
        <v>400633</v>
      </c>
      <c r="H71" s="523">
        <v>10004807.59</v>
      </c>
      <c r="I71" s="523">
        <v>400633</v>
      </c>
      <c r="J71" s="524">
        <v>0.28000000000000003</v>
      </c>
      <c r="K71" s="525">
        <v>512810</v>
      </c>
      <c r="L71" s="523">
        <v>12806147.73</v>
      </c>
      <c r="M71" s="522">
        <v>19</v>
      </c>
    </row>
    <row r="72" spans="2:13" x14ac:dyDescent="0.2">
      <c r="B72" s="527">
        <v>207512</v>
      </c>
      <c r="C72" s="522" t="s">
        <v>525</v>
      </c>
      <c r="D72" s="516" t="s">
        <v>733</v>
      </c>
      <c r="E72" s="517" t="s">
        <v>736</v>
      </c>
      <c r="F72" s="522">
        <v>28.073398050000002</v>
      </c>
      <c r="G72" s="523">
        <v>400633</v>
      </c>
      <c r="H72" s="523">
        <v>11247129.68</v>
      </c>
      <c r="I72" s="523">
        <v>400633</v>
      </c>
      <c r="J72" s="524">
        <v>0.28000000000000003</v>
      </c>
      <c r="K72" s="525">
        <v>512810</v>
      </c>
      <c r="L72" s="523">
        <v>14396319.25</v>
      </c>
      <c r="M72" s="522">
        <v>144</v>
      </c>
    </row>
    <row r="73" spans="2:13" x14ac:dyDescent="0.2">
      <c r="B73" s="521">
        <v>250039</v>
      </c>
      <c r="C73" s="522" t="s">
        <v>637</v>
      </c>
      <c r="D73" s="516" t="s">
        <v>733</v>
      </c>
      <c r="E73" s="517" t="s">
        <v>737</v>
      </c>
      <c r="F73" s="522">
        <v>28599.820199999998</v>
      </c>
      <c r="G73" s="523">
        <v>138869</v>
      </c>
      <c r="H73" s="523">
        <v>3971628431.3499999</v>
      </c>
      <c r="I73" s="523">
        <v>138869</v>
      </c>
      <c r="J73" s="524">
        <v>0.28000000000000003</v>
      </c>
      <c r="K73" s="525">
        <v>177752</v>
      </c>
      <c r="L73" s="523">
        <v>5083675240.1899996</v>
      </c>
      <c r="M73" s="522">
        <v>22</v>
      </c>
    </row>
    <row r="74" spans="2:13" x14ac:dyDescent="0.2">
      <c r="B74" s="521">
        <v>250103</v>
      </c>
      <c r="C74" s="522" t="s">
        <v>583</v>
      </c>
      <c r="D74" s="516" t="s">
        <v>733</v>
      </c>
      <c r="E74" s="517" t="s">
        <v>738</v>
      </c>
      <c r="F74" s="522">
        <v>7.1549725889999998</v>
      </c>
      <c r="G74" s="523">
        <v>462276</v>
      </c>
      <c r="H74" s="523">
        <v>3307572.11</v>
      </c>
      <c r="I74" s="523">
        <v>462276</v>
      </c>
      <c r="J74" s="524">
        <v>0.28000000000000003</v>
      </c>
      <c r="K74" s="525">
        <v>591713</v>
      </c>
      <c r="L74" s="523">
        <v>4233690.3</v>
      </c>
      <c r="M74" s="522">
        <v>26</v>
      </c>
    </row>
    <row r="75" spans="2:13" x14ac:dyDescent="0.2">
      <c r="B75" s="521">
        <v>207508</v>
      </c>
      <c r="C75" s="522" t="s">
        <v>523</v>
      </c>
      <c r="D75" s="516" t="s">
        <v>733</v>
      </c>
      <c r="E75" s="517" t="s">
        <v>739</v>
      </c>
      <c r="F75" s="522">
        <v>19.760304959999999</v>
      </c>
      <c r="G75" s="523">
        <v>589552</v>
      </c>
      <c r="H75" s="523">
        <v>11649727.310000001</v>
      </c>
      <c r="I75" s="523">
        <v>589552</v>
      </c>
      <c r="J75" s="524">
        <v>0.28000000000000003</v>
      </c>
      <c r="K75" s="525">
        <v>754627</v>
      </c>
      <c r="L75" s="523">
        <v>14911659.65</v>
      </c>
      <c r="M75" s="522">
        <v>43</v>
      </c>
    </row>
    <row r="76" spans="2:13" x14ac:dyDescent="0.2">
      <c r="B76" s="521">
        <v>207507</v>
      </c>
      <c r="C76" s="522" t="s">
        <v>643</v>
      </c>
      <c r="D76" s="516" t="s">
        <v>733</v>
      </c>
      <c r="E76" s="517" t="s">
        <v>740</v>
      </c>
      <c r="F76" s="522">
        <v>1.1661527229999999</v>
      </c>
      <c r="G76" s="523">
        <v>730381</v>
      </c>
      <c r="H76" s="523">
        <v>851735.79</v>
      </c>
      <c r="I76" s="523">
        <v>730381</v>
      </c>
      <c r="J76" s="524">
        <v>0.28000000000000003</v>
      </c>
      <c r="K76" s="525">
        <v>934888</v>
      </c>
      <c r="L76" s="523">
        <v>1090222.19</v>
      </c>
      <c r="M76" s="522">
        <v>21</v>
      </c>
    </row>
    <row r="77" spans="2:13" x14ac:dyDescent="0.2">
      <c r="B77" s="521">
        <v>207506</v>
      </c>
      <c r="C77" s="522" t="s">
        <v>644</v>
      </c>
      <c r="D77" s="516" t="s">
        <v>733</v>
      </c>
      <c r="E77" s="517" t="s">
        <v>741</v>
      </c>
      <c r="F77" s="522">
        <v>1.070926375</v>
      </c>
      <c r="G77" s="523">
        <v>1016308</v>
      </c>
      <c r="H77" s="523">
        <v>1088391.04</v>
      </c>
      <c r="I77" s="523">
        <v>1016308</v>
      </c>
      <c r="J77" s="524">
        <v>0.28000000000000003</v>
      </c>
      <c r="K77" s="525">
        <v>1300874</v>
      </c>
      <c r="L77" s="523">
        <v>1393140.28</v>
      </c>
      <c r="M77" s="522">
        <v>15</v>
      </c>
    </row>
    <row r="78" spans="2:13" x14ac:dyDescent="0.2">
      <c r="B78" s="521">
        <v>250040</v>
      </c>
      <c r="C78" s="522" t="s">
        <v>620</v>
      </c>
      <c r="D78" s="516" t="s">
        <v>733</v>
      </c>
      <c r="E78" s="517" t="s">
        <v>742</v>
      </c>
      <c r="F78" s="522">
        <v>51.47982296</v>
      </c>
      <c r="G78" s="523">
        <v>285926</v>
      </c>
      <c r="H78" s="523">
        <v>14719419.859999999</v>
      </c>
      <c r="I78" s="523">
        <v>285926</v>
      </c>
      <c r="J78" s="524">
        <v>0.28000000000000003</v>
      </c>
      <c r="K78" s="525">
        <v>365985</v>
      </c>
      <c r="L78" s="523">
        <v>18840843.010000002</v>
      </c>
      <c r="M78" s="522">
        <v>27</v>
      </c>
    </row>
    <row r="79" spans="2:13" x14ac:dyDescent="0.2">
      <c r="B79" s="521">
        <v>250041</v>
      </c>
      <c r="C79" s="522" t="s">
        <v>630</v>
      </c>
      <c r="D79" s="516" t="s">
        <v>733</v>
      </c>
      <c r="E79" s="517" t="s">
        <v>743</v>
      </c>
      <c r="F79" s="522">
        <v>0</v>
      </c>
      <c r="G79" s="523">
        <v>420869</v>
      </c>
      <c r="H79" s="523">
        <v>0</v>
      </c>
      <c r="I79" s="523">
        <v>420869</v>
      </c>
      <c r="J79" s="524">
        <v>0.28000000000000003</v>
      </c>
      <c r="K79" s="525">
        <v>538712</v>
      </c>
      <c r="L79" s="523">
        <v>0</v>
      </c>
      <c r="M79" s="522">
        <v>3</v>
      </c>
    </row>
    <row r="80" spans="2:13" x14ac:dyDescent="0.2">
      <c r="B80" s="521">
        <v>250034</v>
      </c>
      <c r="C80" s="522" t="s">
        <v>631</v>
      </c>
      <c r="D80" s="516" t="s">
        <v>733</v>
      </c>
      <c r="E80" s="517" t="s">
        <v>744</v>
      </c>
      <c r="F80" s="522">
        <v>33.75</v>
      </c>
      <c r="G80" s="523">
        <v>559740</v>
      </c>
      <c r="H80" s="523">
        <v>18891225</v>
      </c>
      <c r="I80" s="523">
        <v>559740</v>
      </c>
      <c r="J80" s="524">
        <v>0.28000000000000003</v>
      </c>
      <c r="K80" s="525">
        <v>716467</v>
      </c>
      <c r="L80" s="523">
        <v>24180761.25</v>
      </c>
      <c r="M80" s="522">
        <v>14</v>
      </c>
    </row>
    <row r="81" spans="2:13" x14ac:dyDescent="0.2">
      <c r="B81" s="521">
        <v>207505</v>
      </c>
      <c r="C81" s="522" t="s">
        <v>645</v>
      </c>
      <c r="D81" s="516" t="s">
        <v>733</v>
      </c>
      <c r="E81" s="517" t="s">
        <v>745</v>
      </c>
      <c r="F81" s="522">
        <v>1.052750635</v>
      </c>
      <c r="G81" s="523">
        <v>1333489</v>
      </c>
      <c r="H81" s="523">
        <v>1403831.39</v>
      </c>
      <c r="I81" s="523">
        <v>1333489</v>
      </c>
      <c r="J81" s="524">
        <v>0.28000000000000003</v>
      </c>
      <c r="K81" s="525">
        <v>1706866</v>
      </c>
      <c r="L81" s="523">
        <v>1796904.27</v>
      </c>
      <c r="M81" s="522">
        <v>15</v>
      </c>
    </row>
    <row r="82" spans="2:13" x14ac:dyDescent="0.2">
      <c r="B82" s="521">
        <v>207500</v>
      </c>
      <c r="C82" s="522" t="s">
        <v>607</v>
      </c>
      <c r="D82" s="516" t="s">
        <v>733</v>
      </c>
      <c r="E82" s="526" t="s">
        <v>746</v>
      </c>
      <c r="F82" s="522">
        <v>294</v>
      </c>
      <c r="G82" s="523">
        <v>2738</v>
      </c>
      <c r="H82" s="523">
        <v>804972</v>
      </c>
      <c r="I82" s="523">
        <v>2738</v>
      </c>
      <c r="J82" s="524">
        <v>0.28000000000000003</v>
      </c>
      <c r="K82" s="525">
        <v>3505</v>
      </c>
      <c r="L82" s="523">
        <v>1030470</v>
      </c>
      <c r="M82" s="522">
        <v>1</v>
      </c>
    </row>
    <row r="83" spans="2:13" x14ac:dyDescent="0.2">
      <c r="B83" s="521">
        <v>250112</v>
      </c>
      <c r="C83" s="522" t="s">
        <v>607</v>
      </c>
      <c r="D83" s="516" t="s">
        <v>733</v>
      </c>
      <c r="E83" s="526" t="s">
        <v>746</v>
      </c>
      <c r="F83" s="522">
        <v>293.3020353</v>
      </c>
      <c r="G83" s="523">
        <v>2738</v>
      </c>
      <c r="H83" s="523">
        <v>803060.97</v>
      </c>
      <c r="I83" s="523">
        <v>2738</v>
      </c>
      <c r="J83" s="524">
        <v>0.28000000000000003</v>
      </c>
      <c r="K83" s="525">
        <v>3505</v>
      </c>
      <c r="L83" s="523">
        <v>1028023.63</v>
      </c>
      <c r="M83" s="522">
        <v>1</v>
      </c>
    </row>
    <row r="84" spans="2:13" x14ac:dyDescent="0.2">
      <c r="B84" s="521">
        <v>250104</v>
      </c>
      <c r="C84" s="522" t="s">
        <v>747</v>
      </c>
      <c r="D84" s="516" t="s">
        <v>733</v>
      </c>
      <c r="E84" s="517" t="s">
        <v>748</v>
      </c>
      <c r="F84" s="522">
        <v>3849.9153000000001</v>
      </c>
      <c r="G84" s="523">
        <v>261799</v>
      </c>
      <c r="H84" s="523">
        <v>1007903975.62</v>
      </c>
      <c r="I84" s="523">
        <v>261799</v>
      </c>
      <c r="J84" s="524">
        <v>0.28000000000000003</v>
      </c>
      <c r="K84" s="525">
        <v>335103</v>
      </c>
      <c r="L84" s="523">
        <v>1290118166.78</v>
      </c>
      <c r="M84" s="522">
        <v>1</v>
      </c>
    </row>
    <row r="85" spans="2:13" x14ac:dyDescent="0.2">
      <c r="B85" s="521">
        <v>207514</v>
      </c>
      <c r="C85" s="522" t="s">
        <v>524</v>
      </c>
      <c r="D85" s="516" t="s">
        <v>733</v>
      </c>
      <c r="E85" s="517" t="s">
        <v>749</v>
      </c>
      <c r="F85" s="522">
        <v>144.5582148</v>
      </c>
      <c r="G85" s="523">
        <v>157986</v>
      </c>
      <c r="H85" s="523">
        <v>22838174.120000001</v>
      </c>
      <c r="I85" s="523">
        <v>157986</v>
      </c>
      <c r="J85" s="524">
        <v>0.28000000000000003</v>
      </c>
      <c r="K85" s="525">
        <v>202222</v>
      </c>
      <c r="L85" s="523">
        <v>29232851.309999999</v>
      </c>
      <c r="M85" s="522">
        <v>159</v>
      </c>
    </row>
    <row r="86" spans="2:13" x14ac:dyDescent="0.2">
      <c r="B86" s="147"/>
      <c r="C86" s="147"/>
      <c r="D86" s="147"/>
      <c r="E86" s="147"/>
      <c r="F86" s="147"/>
      <c r="G86" s="147"/>
      <c r="H86" s="147"/>
      <c r="I86" s="147"/>
      <c r="J86" s="504"/>
      <c r="K86" s="504"/>
      <c r="L86" s="147"/>
      <c r="M86" s="147"/>
    </row>
    <row r="87" spans="2:13" x14ac:dyDescent="0.2">
      <c r="B87" s="147"/>
      <c r="C87" s="147"/>
      <c r="D87" s="147"/>
      <c r="E87" s="147"/>
      <c r="F87" s="147"/>
      <c r="G87" s="147"/>
      <c r="H87" s="147"/>
      <c r="I87" s="147"/>
      <c r="J87" s="504"/>
      <c r="K87" s="504"/>
      <c r="L87" s="147"/>
      <c r="M87" s="147"/>
    </row>
    <row r="88" spans="2:13" ht="17" x14ac:dyDescent="0.2">
      <c r="B88" s="505" t="s">
        <v>750</v>
      </c>
      <c r="C88" s="506" t="s">
        <v>450</v>
      </c>
      <c r="D88" s="147"/>
      <c r="E88" s="147"/>
      <c r="F88" s="147"/>
      <c r="G88" s="147"/>
      <c r="H88" s="507" t="e">
        <v>#VALUE!</v>
      </c>
      <c r="I88" s="147"/>
      <c r="J88" s="504"/>
      <c r="K88" s="504"/>
      <c r="L88" s="507" t="e">
        <v>#VALUE!</v>
      </c>
      <c r="M88" s="147"/>
    </row>
    <row r="89" spans="2:13" x14ac:dyDescent="0.2">
      <c r="B89" s="508" t="s">
        <v>655</v>
      </c>
      <c r="C89" s="509" t="s">
        <v>656</v>
      </c>
      <c r="D89" s="510" t="s">
        <v>657</v>
      </c>
      <c r="E89" s="511"/>
      <c r="F89" s="509" t="s">
        <v>658</v>
      </c>
      <c r="G89" s="509" t="s">
        <v>659</v>
      </c>
      <c r="H89" s="512" t="s">
        <v>5</v>
      </c>
      <c r="I89" s="509" t="s">
        <v>660</v>
      </c>
      <c r="J89" s="513" t="s">
        <v>661</v>
      </c>
      <c r="K89" s="513" t="s">
        <v>662</v>
      </c>
      <c r="L89" s="512" t="s">
        <v>663</v>
      </c>
      <c r="M89" s="509"/>
    </row>
    <row r="90" spans="2:13" x14ac:dyDescent="0.2">
      <c r="B90" s="514">
        <v>350227</v>
      </c>
      <c r="C90" s="515" t="s">
        <v>527</v>
      </c>
      <c r="D90" s="516" t="s">
        <v>114</v>
      </c>
      <c r="E90" s="517" t="s">
        <v>751</v>
      </c>
      <c r="F90" s="515">
        <v>10.40511858</v>
      </c>
      <c r="G90" s="518">
        <v>1600</v>
      </c>
      <c r="H90" s="518">
        <v>16648.189999999999</v>
      </c>
      <c r="I90" s="518">
        <v>1600</v>
      </c>
      <c r="J90" s="519">
        <v>0.28000000000000003</v>
      </c>
      <c r="K90" s="520">
        <v>2048</v>
      </c>
      <c r="L90" s="518">
        <v>21309.68</v>
      </c>
      <c r="M90" s="515">
        <v>14</v>
      </c>
    </row>
    <row r="91" spans="2:13" x14ac:dyDescent="0.2">
      <c r="B91" s="521">
        <v>350228</v>
      </c>
      <c r="C91" s="522" t="s">
        <v>548</v>
      </c>
      <c r="D91" s="516" t="s">
        <v>114</v>
      </c>
      <c r="E91" s="517" t="s">
        <v>752</v>
      </c>
      <c r="F91" s="522">
        <v>48.305999999999997</v>
      </c>
      <c r="G91" s="523">
        <v>20900</v>
      </c>
      <c r="H91" s="523">
        <v>1009595.4</v>
      </c>
      <c r="I91" s="523">
        <v>20900</v>
      </c>
      <c r="J91" s="524">
        <v>0.28000000000000003</v>
      </c>
      <c r="K91" s="525">
        <v>26752</v>
      </c>
      <c r="L91" s="523">
        <v>1292282.1100000001</v>
      </c>
      <c r="M91" s="522">
        <v>3</v>
      </c>
    </row>
    <row r="92" spans="2:13" x14ac:dyDescent="0.2">
      <c r="B92" s="521">
        <v>350230</v>
      </c>
      <c r="C92" s="522" t="s">
        <v>549</v>
      </c>
      <c r="D92" s="516" t="s">
        <v>114</v>
      </c>
      <c r="E92" s="517" t="s">
        <v>753</v>
      </c>
      <c r="F92" s="522">
        <v>6.8460000000000001</v>
      </c>
      <c r="G92" s="523">
        <v>1900</v>
      </c>
      <c r="H92" s="523">
        <v>13007.4</v>
      </c>
      <c r="I92" s="523">
        <v>1900</v>
      </c>
      <c r="J92" s="524">
        <v>0.28000000000000003</v>
      </c>
      <c r="K92" s="525">
        <v>2432</v>
      </c>
      <c r="L92" s="523">
        <v>16649.47</v>
      </c>
      <c r="M92" s="522">
        <v>1</v>
      </c>
    </row>
    <row r="93" spans="2:13" x14ac:dyDescent="0.2">
      <c r="B93" s="521">
        <v>350007</v>
      </c>
      <c r="C93" s="522" t="s">
        <v>638</v>
      </c>
      <c r="D93" s="516" t="s">
        <v>2</v>
      </c>
      <c r="E93" s="517" t="s">
        <v>754</v>
      </c>
      <c r="F93" s="522">
        <v>3.15</v>
      </c>
      <c r="G93" s="523">
        <v>56757.05</v>
      </c>
      <c r="H93" s="523">
        <v>178784.71</v>
      </c>
      <c r="I93" s="523">
        <v>56757.05</v>
      </c>
      <c r="J93" s="524">
        <v>0.28000000000000003</v>
      </c>
      <c r="K93" s="525">
        <v>72649</v>
      </c>
      <c r="L93" s="523">
        <v>228844.35</v>
      </c>
      <c r="M93" s="522">
        <v>10</v>
      </c>
    </row>
    <row r="94" spans="2:13" x14ac:dyDescent="0.2">
      <c r="B94" s="521">
        <v>350008</v>
      </c>
      <c r="C94" s="522" t="s">
        <v>267</v>
      </c>
      <c r="D94" s="516" t="s">
        <v>114</v>
      </c>
      <c r="E94" s="517" t="s">
        <v>755</v>
      </c>
      <c r="F94" s="522">
        <v>0.686111111</v>
      </c>
      <c r="G94" s="523">
        <v>1900</v>
      </c>
      <c r="H94" s="523">
        <v>1303.6099999999999</v>
      </c>
      <c r="I94" s="523">
        <v>1900</v>
      </c>
      <c r="J94" s="524">
        <v>0.28000000000000003</v>
      </c>
      <c r="K94" s="525">
        <v>2432</v>
      </c>
      <c r="L94" s="523">
        <v>1668.62</v>
      </c>
      <c r="M94" s="522">
        <v>2</v>
      </c>
    </row>
    <row r="95" spans="2:13" x14ac:dyDescent="0.2">
      <c r="B95" s="521">
        <v>309252</v>
      </c>
      <c r="C95" s="522" t="s">
        <v>640</v>
      </c>
      <c r="D95" s="516" t="s">
        <v>114</v>
      </c>
      <c r="E95" s="517" t="s">
        <v>756</v>
      </c>
      <c r="F95" s="522">
        <v>2.2749999999999999</v>
      </c>
      <c r="G95" s="523">
        <v>179673.34</v>
      </c>
      <c r="H95" s="523">
        <v>408756.85</v>
      </c>
      <c r="I95" s="523">
        <v>179673.34</v>
      </c>
      <c r="J95" s="524">
        <v>0.28000000000000003</v>
      </c>
      <c r="K95" s="525">
        <v>229982</v>
      </c>
      <c r="L95" s="523">
        <v>523209.05</v>
      </c>
      <c r="M95" s="522">
        <v>12</v>
      </c>
    </row>
    <row r="96" spans="2:13" x14ac:dyDescent="0.2">
      <c r="B96" s="527">
        <v>350117</v>
      </c>
      <c r="C96" s="522" t="s">
        <v>622</v>
      </c>
      <c r="D96" s="516" t="s">
        <v>2</v>
      </c>
      <c r="E96" s="526" t="s">
        <v>757</v>
      </c>
      <c r="F96" s="522">
        <v>0</v>
      </c>
      <c r="G96" s="523">
        <v>7600</v>
      </c>
      <c r="H96" s="523">
        <v>0</v>
      </c>
      <c r="I96" s="523">
        <v>7600</v>
      </c>
      <c r="J96" s="524">
        <v>0.28000000000000003</v>
      </c>
      <c r="K96" s="525">
        <v>9728</v>
      </c>
      <c r="L96" s="523">
        <v>0</v>
      </c>
      <c r="M96" s="522">
        <v>9</v>
      </c>
    </row>
    <row r="97" spans="2:13" x14ac:dyDescent="0.2">
      <c r="B97" s="527">
        <v>350117</v>
      </c>
      <c r="C97" s="522" t="s">
        <v>622</v>
      </c>
      <c r="D97" s="516" t="s">
        <v>2</v>
      </c>
      <c r="E97" s="526" t="s">
        <v>757</v>
      </c>
      <c r="F97" s="522">
        <v>2.2711860000000001E-3</v>
      </c>
      <c r="G97" s="523">
        <v>10200</v>
      </c>
      <c r="H97" s="523">
        <v>23.17</v>
      </c>
      <c r="I97" s="523">
        <v>10200</v>
      </c>
      <c r="J97" s="524">
        <v>0.28000000000000003</v>
      </c>
      <c r="K97" s="525">
        <v>13056</v>
      </c>
      <c r="L97" s="523">
        <v>29.65</v>
      </c>
      <c r="M97" s="522">
        <v>2</v>
      </c>
    </row>
    <row r="98" spans="2:13" x14ac:dyDescent="0.2">
      <c r="B98" s="521">
        <v>350113</v>
      </c>
      <c r="C98" s="522" t="s">
        <v>571</v>
      </c>
      <c r="D98" s="516" t="s">
        <v>2</v>
      </c>
      <c r="E98" s="517" t="s">
        <v>758</v>
      </c>
      <c r="F98" s="522" t="e">
        <v>#VALUE!</v>
      </c>
      <c r="G98" s="523">
        <v>1700</v>
      </c>
      <c r="H98" s="523" t="e">
        <v>#VALUE!</v>
      </c>
      <c r="I98" s="523">
        <v>1700</v>
      </c>
      <c r="J98" s="524">
        <v>0.28000000000000003</v>
      </c>
      <c r="K98" s="525">
        <v>2176</v>
      </c>
      <c r="L98" s="523" t="e">
        <v>#VALUE!</v>
      </c>
      <c r="M98" s="522">
        <v>16</v>
      </c>
    </row>
    <row r="99" spans="2:13" x14ac:dyDescent="0.2">
      <c r="B99" s="521">
        <v>350126</v>
      </c>
      <c r="C99" s="522" t="s">
        <v>759</v>
      </c>
      <c r="D99" s="516" t="s">
        <v>296</v>
      </c>
      <c r="E99" s="517" t="s">
        <v>760</v>
      </c>
      <c r="F99" s="522">
        <v>1</v>
      </c>
      <c r="G99" s="523">
        <v>749700</v>
      </c>
      <c r="H99" s="523">
        <v>749700</v>
      </c>
      <c r="I99" s="523">
        <v>749700</v>
      </c>
      <c r="J99" s="524">
        <v>0.28000000000000003</v>
      </c>
      <c r="K99" s="525">
        <v>959616</v>
      </c>
      <c r="L99" s="523">
        <v>959616</v>
      </c>
      <c r="M99" s="522">
        <v>1</v>
      </c>
    </row>
    <row r="100" spans="2:13" x14ac:dyDescent="0.2">
      <c r="B100" s="521">
        <v>350105</v>
      </c>
      <c r="C100" s="522" t="s">
        <v>552</v>
      </c>
      <c r="D100" s="516" t="s">
        <v>2</v>
      </c>
      <c r="E100" s="517" t="s">
        <v>761</v>
      </c>
      <c r="F100" s="522" t="e">
        <v>#VALUE!</v>
      </c>
      <c r="G100" s="523">
        <v>1800</v>
      </c>
      <c r="H100" s="523" t="e">
        <v>#VALUE!</v>
      </c>
      <c r="I100" s="523">
        <v>1800</v>
      </c>
      <c r="J100" s="524">
        <v>0.28000000000000003</v>
      </c>
      <c r="K100" s="525">
        <v>2304</v>
      </c>
      <c r="L100" s="523" t="e">
        <v>#VALUE!</v>
      </c>
      <c r="M100" s="522">
        <v>101</v>
      </c>
    </row>
    <row r="101" spans="2:13" x14ac:dyDescent="0.2">
      <c r="B101" s="521">
        <v>350238</v>
      </c>
      <c r="C101" s="522" t="s">
        <v>552</v>
      </c>
      <c r="D101" s="516" t="s">
        <v>535</v>
      </c>
      <c r="E101" s="517" t="s">
        <v>762</v>
      </c>
      <c r="F101" s="522">
        <v>2.282</v>
      </c>
      <c r="G101" s="523">
        <v>1700</v>
      </c>
      <c r="H101" s="523">
        <v>3879.4</v>
      </c>
      <c r="I101" s="523">
        <v>1700</v>
      </c>
      <c r="J101" s="524">
        <v>0.28000000000000003</v>
      </c>
      <c r="K101" s="525">
        <v>2176</v>
      </c>
      <c r="L101" s="523">
        <v>4965.63</v>
      </c>
      <c r="M101" s="522">
        <v>1</v>
      </c>
    </row>
    <row r="102" spans="2:13" x14ac:dyDescent="0.2">
      <c r="B102" s="521">
        <v>350122</v>
      </c>
      <c r="C102" s="522" t="s">
        <v>568</v>
      </c>
      <c r="D102" s="516" t="s">
        <v>2</v>
      </c>
      <c r="E102" s="517" t="s">
        <v>763</v>
      </c>
      <c r="F102" s="522" t="e">
        <v>#VALUE!</v>
      </c>
      <c r="G102" s="523">
        <v>2100</v>
      </c>
      <c r="H102" s="523" t="e">
        <v>#VALUE!</v>
      </c>
      <c r="I102" s="523">
        <v>2100</v>
      </c>
      <c r="J102" s="524">
        <v>0.28000000000000003</v>
      </c>
      <c r="K102" s="525">
        <v>2688</v>
      </c>
      <c r="L102" s="523" t="e">
        <v>#VALUE!</v>
      </c>
      <c r="M102" s="522">
        <v>60</v>
      </c>
    </row>
    <row r="103" spans="2:13" x14ac:dyDescent="0.2">
      <c r="B103" s="521">
        <v>350111</v>
      </c>
      <c r="C103" s="522" t="s">
        <v>764</v>
      </c>
      <c r="D103" s="516" t="s">
        <v>140</v>
      </c>
      <c r="E103" s="517" t="s">
        <v>765</v>
      </c>
      <c r="F103" s="522">
        <v>7.4576271E-2</v>
      </c>
      <c r="G103" s="523">
        <v>137553</v>
      </c>
      <c r="H103" s="523">
        <v>10258.19</v>
      </c>
      <c r="I103" s="523">
        <v>137553</v>
      </c>
      <c r="J103" s="524">
        <v>0.28000000000000003</v>
      </c>
      <c r="K103" s="525">
        <v>176068</v>
      </c>
      <c r="L103" s="523">
        <v>13130.49</v>
      </c>
      <c r="M103" s="522">
        <v>1</v>
      </c>
    </row>
    <row r="104" spans="2:13" x14ac:dyDescent="0.2">
      <c r="B104" s="521">
        <v>350119</v>
      </c>
      <c r="C104" s="522" t="s">
        <v>766</v>
      </c>
      <c r="D104" s="516" t="s">
        <v>2</v>
      </c>
      <c r="E104" s="517" t="s">
        <v>767</v>
      </c>
      <c r="F104" s="522">
        <v>6.7796610000000002E-3</v>
      </c>
      <c r="G104" s="523">
        <v>1545900</v>
      </c>
      <c r="H104" s="523">
        <v>10480.68</v>
      </c>
      <c r="I104" s="523">
        <v>1545900</v>
      </c>
      <c r="J104" s="524">
        <v>0.28000000000000003</v>
      </c>
      <c r="K104" s="525">
        <v>1978752</v>
      </c>
      <c r="L104" s="523">
        <v>13415.27</v>
      </c>
      <c r="M104" s="522">
        <v>1</v>
      </c>
    </row>
    <row r="105" spans="2:13" x14ac:dyDescent="0.2">
      <c r="B105" s="521">
        <v>350118</v>
      </c>
      <c r="C105" s="522" t="s">
        <v>768</v>
      </c>
      <c r="D105" s="516" t="s">
        <v>2</v>
      </c>
      <c r="E105" s="517" t="s">
        <v>769</v>
      </c>
      <c r="F105" s="522">
        <v>6.7796610000000002E-3</v>
      </c>
      <c r="G105" s="523">
        <v>2318800</v>
      </c>
      <c r="H105" s="523">
        <v>15720.68</v>
      </c>
      <c r="I105" s="523">
        <v>2318800</v>
      </c>
      <c r="J105" s="524">
        <v>0.28000000000000003</v>
      </c>
      <c r="K105" s="525">
        <v>2968064</v>
      </c>
      <c r="L105" s="523">
        <v>20122.47</v>
      </c>
      <c r="M105" s="522">
        <v>1</v>
      </c>
    </row>
    <row r="106" spans="2:13" x14ac:dyDescent="0.2">
      <c r="B106" s="521">
        <v>350125</v>
      </c>
      <c r="C106" s="522" t="s">
        <v>770</v>
      </c>
      <c r="D106" s="516" t="s">
        <v>296</v>
      </c>
      <c r="E106" s="517" t="s">
        <v>771</v>
      </c>
      <c r="F106" s="522">
        <v>1</v>
      </c>
      <c r="G106" s="523">
        <v>476000</v>
      </c>
      <c r="H106" s="523">
        <v>476000</v>
      </c>
      <c r="I106" s="523">
        <v>476000</v>
      </c>
      <c r="J106" s="524">
        <v>0.28000000000000003</v>
      </c>
      <c r="K106" s="525">
        <v>609280</v>
      </c>
      <c r="L106" s="523">
        <v>609280</v>
      </c>
      <c r="M106" s="522">
        <v>1</v>
      </c>
    </row>
    <row r="107" spans="2:13" x14ac:dyDescent="0.2">
      <c r="B107" s="521">
        <v>350127</v>
      </c>
      <c r="C107" s="522" t="s">
        <v>772</v>
      </c>
      <c r="D107" s="516" t="s">
        <v>296</v>
      </c>
      <c r="E107" s="517" t="s">
        <v>773</v>
      </c>
      <c r="F107" s="522">
        <v>1</v>
      </c>
      <c r="G107" s="523">
        <v>892500</v>
      </c>
      <c r="H107" s="523">
        <v>892500</v>
      </c>
      <c r="I107" s="523">
        <v>892500</v>
      </c>
      <c r="J107" s="524">
        <v>0.28000000000000003</v>
      </c>
      <c r="K107" s="525">
        <v>1142400</v>
      </c>
      <c r="L107" s="523">
        <v>1142400</v>
      </c>
      <c r="M107" s="522">
        <v>1</v>
      </c>
    </row>
    <row r="108" spans="2:13" x14ac:dyDescent="0.2">
      <c r="B108" s="521">
        <v>309265</v>
      </c>
      <c r="C108" s="522" t="s">
        <v>451</v>
      </c>
      <c r="D108" s="516" t="s">
        <v>2</v>
      </c>
      <c r="E108" s="517" t="s">
        <v>774</v>
      </c>
      <c r="F108" s="522">
        <v>12019446.029999999</v>
      </c>
      <c r="G108" s="523">
        <v>0.02</v>
      </c>
      <c r="H108" s="523">
        <v>240388.92</v>
      </c>
      <c r="I108" s="523">
        <v>0.02</v>
      </c>
      <c r="J108" s="524">
        <v>0.28000000000000003</v>
      </c>
      <c r="K108" s="525">
        <v>0</v>
      </c>
      <c r="L108" s="523">
        <v>0</v>
      </c>
      <c r="M108" s="522">
        <v>69</v>
      </c>
    </row>
    <row r="109" spans="2:13" x14ac:dyDescent="0.2">
      <c r="B109" s="527">
        <v>350110</v>
      </c>
      <c r="C109" s="522" t="s">
        <v>610</v>
      </c>
      <c r="D109" s="516" t="s">
        <v>2</v>
      </c>
      <c r="E109" s="526" t="s">
        <v>775</v>
      </c>
      <c r="F109" s="522">
        <v>5.98</v>
      </c>
      <c r="G109" s="523">
        <v>7600</v>
      </c>
      <c r="H109" s="523">
        <v>45448</v>
      </c>
      <c r="I109" s="523">
        <v>7600</v>
      </c>
      <c r="J109" s="524">
        <v>0.28000000000000003</v>
      </c>
      <c r="K109" s="525">
        <v>9728</v>
      </c>
      <c r="L109" s="523">
        <v>58173.440000000002</v>
      </c>
      <c r="M109" s="522">
        <v>2</v>
      </c>
    </row>
    <row r="110" spans="2:13" x14ac:dyDescent="0.2">
      <c r="B110" s="527">
        <v>350110</v>
      </c>
      <c r="C110" s="522" t="s">
        <v>610</v>
      </c>
      <c r="D110" s="516" t="s">
        <v>2</v>
      </c>
      <c r="E110" s="526" t="s">
        <v>775</v>
      </c>
      <c r="F110" s="522">
        <v>1.1299439999999999E-3</v>
      </c>
      <c r="G110" s="523">
        <v>6731400</v>
      </c>
      <c r="H110" s="523">
        <v>7606.1</v>
      </c>
      <c r="I110" s="523">
        <v>6731400</v>
      </c>
      <c r="J110" s="524">
        <v>0.28000000000000003</v>
      </c>
      <c r="K110" s="525">
        <v>8616192</v>
      </c>
      <c r="L110" s="523">
        <v>9735.81</v>
      </c>
      <c r="M110" s="522">
        <v>1</v>
      </c>
    </row>
    <row r="111" spans="2:13" x14ac:dyDescent="0.2">
      <c r="B111" s="521">
        <v>350012</v>
      </c>
      <c r="C111" s="522" t="s">
        <v>652</v>
      </c>
      <c r="D111" s="516" t="s">
        <v>653</v>
      </c>
      <c r="E111" s="517" t="s">
        <v>776</v>
      </c>
      <c r="F111" s="522">
        <v>0.39666744300000001</v>
      </c>
      <c r="G111" s="523">
        <v>1000</v>
      </c>
      <c r="H111" s="523">
        <v>396.67</v>
      </c>
      <c r="I111" s="523">
        <v>1000</v>
      </c>
      <c r="J111" s="524">
        <v>0.28000000000000003</v>
      </c>
      <c r="K111" s="525">
        <v>1280</v>
      </c>
      <c r="L111" s="523">
        <v>507.73</v>
      </c>
      <c r="M111" s="522">
        <v>11</v>
      </c>
    </row>
    <row r="112" spans="2:13" x14ac:dyDescent="0.2">
      <c r="B112" s="521">
        <v>350114</v>
      </c>
      <c r="C112" s="522" t="s">
        <v>570</v>
      </c>
      <c r="D112" s="516" t="s">
        <v>2</v>
      </c>
      <c r="E112" s="517" t="s">
        <v>777</v>
      </c>
      <c r="F112" s="522" t="e">
        <v>#VALUE!</v>
      </c>
      <c r="G112" s="523">
        <v>1600</v>
      </c>
      <c r="H112" s="523" t="e">
        <v>#VALUE!</v>
      </c>
      <c r="I112" s="523">
        <v>1600</v>
      </c>
      <c r="J112" s="524">
        <v>0.28000000000000003</v>
      </c>
      <c r="K112" s="525">
        <v>2048</v>
      </c>
      <c r="L112" s="523" t="e">
        <v>#VALUE!</v>
      </c>
      <c r="M112" s="522">
        <v>81</v>
      </c>
    </row>
    <row r="113" spans="2:13" x14ac:dyDescent="0.2">
      <c r="B113" s="521">
        <v>350243</v>
      </c>
      <c r="C113" s="522" t="s">
        <v>528</v>
      </c>
      <c r="D113" s="516" t="s">
        <v>114</v>
      </c>
      <c r="E113" s="517" t="s">
        <v>778</v>
      </c>
      <c r="F113" s="522">
        <v>6.9367457190000001</v>
      </c>
      <c r="G113" s="523">
        <v>1600</v>
      </c>
      <c r="H113" s="523">
        <v>11098.79</v>
      </c>
      <c r="I113" s="523">
        <v>1600</v>
      </c>
      <c r="J113" s="524">
        <v>0.28000000000000003</v>
      </c>
      <c r="K113" s="525">
        <v>2048</v>
      </c>
      <c r="L113" s="523">
        <v>14206.46</v>
      </c>
      <c r="M113" s="522">
        <v>14</v>
      </c>
    </row>
    <row r="114" spans="2:13" x14ac:dyDescent="0.2">
      <c r="B114" s="521">
        <v>350109</v>
      </c>
      <c r="C114" s="522" t="s">
        <v>650</v>
      </c>
      <c r="D114" s="516" t="s">
        <v>2</v>
      </c>
      <c r="E114" s="517" t="s">
        <v>779</v>
      </c>
      <c r="F114" s="522">
        <v>1.6457189000000001E-2</v>
      </c>
      <c r="G114" s="523">
        <v>31500</v>
      </c>
      <c r="H114" s="523">
        <v>518.4</v>
      </c>
      <c r="I114" s="523">
        <v>31500</v>
      </c>
      <c r="J114" s="524">
        <v>0.28000000000000003</v>
      </c>
      <c r="K114" s="525">
        <v>40320</v>
      </c>
      <c r="L114" s="523">
        <v>663.55</v>
      </c>
      <c r="M114" s="522">
        <v>10</v>
      </c>
    </row>
    <row r="115" spans="2:13" x14ac:dyDescent="0.2">
      <c r="B115" s="521">
        <v>309255</v>
      </c>
      <c r="C115" s="522" t="s">
        <v>780</v>
      </c>
      <c r="D115" s="516" t="s">
        <v>781</v>
      </c>
      <c r="E115" s="517" t="s">
        <v>782</v>
      </c>
      <c r="F115" s="522">
        <v>8</v>
      </c>
      <c r="G115" s="523">
        <v>321300</v>
      </c>
      <c r="H115" s="523">
        <v>2570400</v>
      </c>
      <c r="I115" s="523">
        <v>321300</v>
      </c>
      <c r="J115" s="524">
        <v>0.28000000000000003</v>
      </c>
      <c r="K115" s="525">
        <v>411264</v>
      </c>
      <c r="L115" s="523">
        <v>3290112</v>
      </c>
      <c r="M115" s="522">
        <v>1</v>
      </c>
    </row>
    <row r="116" spans="2:13" x14ac:dyDescent="0.2">
      <c r="B116" s="521">
        <v>350033</v>
      </c>
      <c r="C116" s="522" t="s">
        <v>783</v>
      </c>
      <c r="D116" s="516" t="s">
        <v>781</v>
      </c>
      <c r="E116" s="517" t="s">
        <v>784</v>
      </c>
      <c r="F116" s="522">
        <v>8</v>
      </c>
      <c r="G116" s="523">
        <v>345100</v>
      </c>
      <c r="H116" s="523">
        <v>2760800</v>
      </c>
      <c r="I116" s="523">
        <v>345100</v>
      </c>
      <c r="J116" s="524">
        <v>0.28000000000000003</v>
      </c>
      <c r="K116" s="525">
        <v>441728</v>
      </c>
      <c r="L116" s="523">
        <v>3533824</v>
      </c>
      <c r="M116" s="522">
        <v>1</v>
      </c>
    </row>
    <row r="117" spans="2:13" x14ac:dyDescent="0.2">
      <c r="B117" s="521">
        <v>350028</v>
      </c>
      <c r="C117" s="522" t="s">
        <v>785</v>
      </c>
      <c r="D117" s="516" t="s">
        <v>781</v>
      </c>
      <c r="E117" s="517" t="s">
        <v>786</v>
      </c>
      <c r="F117" s="522">
        <v>8</v>
      </c>
      <c r="G117" s="523">
        <v>380800</v>
      </c>
      <c r="H117" s="523">
        <v>3046400</v>
      </c>
      <c r="I117" s="523">
        <v>380800</v>
      </c>
      <c r="J117" s="524">
        <v>0.28000000000000003</v>
      </c>
      <c r="K117" s="525">
        <v>487424</v>
      </c>
      <c r="L117" s="523">
        <v>3899392</v>
      </c>
      <c r="M117" s="522">
        <v>1</v>
      </c>
    </row>
    <row r="118" spans="2:13" x14ac:dyDescent="0.2">
      <c r="B118" s="527">
        <v>300026</v>
      </c>
      <c r="C118" s="522" t="s">
        <v>526</v>
      </c>
      <c r="D118" s="516" t="s">
        <v>456</v>
      </c>
      <c r="E118" s="526" t="s">
        <v>787</v>
      </c>
      <c r="F118" s="522">
        <v>0.14249999999999999</v>
      </c>
      <c r="G118" s="523">
        <v>30441.07</v>
      </c>
      <c r="H118" s="523">
        <v>4337.8500000000004</v>
      </c>
      <c r="I118" s="523">
        <v>30441.07</v>
      </c>
      <c r="J118" s="524">
        <v>0.28000000000000003</v>
      </c>
      <c r="K118" s="525">
        <v>38965</v>
      </c>
      <c r="L118" s="523">
        <v>5552.51</v>
      </c>
      <c r="M118" s="522">
        <v>1</v>
      </c>
    </row>
    <row r="119" spans="2:13" x14ac:dyDescent="0.2">
      <c r="B119" s="527">
        <v>300026</v>
      </c>
      <c r="C119" s="522" t="s">
        <v>526</v>
      </c>
      <c r="D119" s="516" t="s">
        <v>456</v>
      </c>
      <c r="E119" s="526" t="s">
        <v>787</v>
      </c>
      <c r="F119" s="522">
        <v>0.21375</v>
      </c>
      <c r="G119" s="523">
        <v>45661.599999999999</v>
      </c>
      <c r="H119" s="523">
        <v>9760.17</v>
      </c>
      <c r="I119" s="523">
        <v>45661.599999999999</v>
      </c>
      <c r="J119" s="524">
        <v>0.28000000000000003</v>
      </c>
      <c r="K119" s="525">
        <v>58447</v>
      </c>
      <c r="L119" s="523">
        <v>12493.05</v>
      </c>
      <c r="M119" s="522">
        <v>1</v>
      </c>
    </row>
    <row r="120" spans="2:13" x14ac:dyDescent="0.2">
      <c r="B120" s="521">
        <v>350116</v>
      </c>
      <c r="C120" s="522" t="s">
        <v>623</v>
      </c>
      <c r="D120" s="516" t="s">
        <v>2</v>
      </c>
      <c r="E120" s="517" t="s">
        <v>788</v>
      </c>
      <c r="F120" s="522">
        <v>1</v>
      </c>
      <c r="G120" s="523">
        <v>7600</v>
      </c>
      <c r="H120" s="523">
        <v>7600</v>
      </c>
      <c r="I120" s="523">
        <v>7600</v>
      </c>
      <c r="J120" s="524">
        <v>0.28000000000000003</v>
      </c>
      <c r="K120" s="525">
        <v>9728</v>
      </c>
      <c r="L120" s="523">
        <v>9728</v>
      </c>
      <c r="M120" s="522">
        <v>11</v>
      </c>
    </row>
    <row r="121" spans="2:13" x14ac:dyDescent="0.2">
      <c r="B121" s="521">
        <v>309261</v>
      </c>
      <c r="C121" s="522" t="s">
        <v>455</v>
      </c>
      <c r="D121" s="516" t="s">
        <v>456</v>
      </c>
      <c r="E121" s="517" t="s">
        <v>789</v>
      </c>
      <c r="F121" s="522">
        <v>0</v>
      </c>
      <c r="G121" s="523">
        <v>0</v>
      </c>
      <c r="H121" s="523">
        <v>0</v>
      </c>
      <c r="I121" s="523">
        <v>0</v>
      </c>
      <c r="J121" s="524">
        <v>0.28000000000000003</v>
      </c>
      <c r="K121" s="525">
        <v>0</v>
      </c>
      <c r="L121" s="523">
        <v>0</v>
      </c>
      <c r="M121" s="522">
        <v>20</v>
      </c>
    </row>
    <row r="122" spans="2:13" x14ac:dyDescent="0.2">
      <c r="B122" s="521">
        <v>309260</v>
      </c>
      <c r="C122" s="522" t="s">
        <v>614</v>
      </c>
      <c r="D122" s="516" t="s">
        <v>456</v>
      </c>
      <c r="E122" s="517" t="s">
        <v>790</v>
      </c>
      <c r="F122" s="522">
        <v>5759431.7369999997</v>
      </c>
      <c r="G122" s="523">
        <v>0.02</v>
      </c>
      <c r="H122" s="523">
        <v>115188.63</v>
      </c>
      <c r="I122" s="523">
        <v>0.02</v>
      </c>
      <c r="J122" s="524">
        <v>0.28000000000000003</v>
      </c>
      <c r="K122" s="525">
        <v>0</v>
      </c>
      <c r="L122" s="523">
        <v>0</v>
      </c>
      <c r="M122" s="522">
        <v>2</v>
      </c>
    </row>
    <row r="123" spans="2:13" x14ac:dyDescent="0.2">
      <c r="B123" s="521">
        <v>350103</v>
      </c>
      <c r="C123" s="522" t="s">
        <v>551</v>
      </c>
      <c r="D123" s="516" t="s">
        <v>2</v>
      </c>
      <c r="E123" s="517" t="s">
        <v>791</v>
      </c>
      <c r="F123" s="522" t="e">
        <v>#VALUE!</v>
      </c>
      <c r="G123" s="523">
        <v>1000</v>
      </c>
      <c r="H123" s="523" t="e">
        <v>#VALUE!</v>
      </c>
      <c r="I123" s="523">
        <v>1000</v>
      </c>
      <c r="J123" s="524">
        <v>0.28000000000000003</v>
      </c>
      <c r="K123" s="525">
        <v>1280</v>
      </c>
      <c r="L123" s="523" t="e">
        <v>#VALUE!</v>
      </c>
      <c r="M123" s="522">
        <v>106</v>
      </c>
    </row>
    <row r="124" spans="2:13" x14ac:dyDescent="0.2">
      <c r="B124" s="521">
        <v>350244</v>
      </c>
      <c r="C124" s="522" t="s">
        <v>551</v>
      </c>
      <c r="D124" s="516" t="s">
        <v>535</v>
      </c>
      <c r="E124" s="517" t="s">
        <v>792</v>
      </c>
      <c r="F124" s="522">
        <v>6.8460000000000001</v>
      </c>
      <c r="G124" s="523">
        <v>900</v>
      </c>
      <c r="H124" s="523">
        <v>6161.4</v>
      </c>
      <c r="I124" s="523">
        <v>900</v>
      </c>
      <c r="J124" s="524">
        <v>0.28000000000000003</v>
      </c>
      <c r="K124" s="525">
        <v>1152</v>
      </c>
      <c r="L124" s="523">
        <v>7886.59</v>
      </c>
      <c r="M124" s="522">
        <v>1</v>
      </c>
    </row>
    <row r="125" spans="2:13" x14ac:dyDescent="0.2">
      <c r="B125" s="521">
        <v>350104</v>
      </c>
      <c r="C125" s="522" t="s">
        <v>569</v>
      </c>
      <c r="D125" s="516" t="s">
        <v>2</v>
      </c>
      <c r="E125" s="517" t="s">
        <v>793</v>
      </c>
      <c r="F125" s="522" t="e">
        <v>#VALUE!</v>
      </c>
      <c r="G125" s="523">
        <v>3700</v>
      </c>
      <c r="H125" s="523" t="e">
        <v>#VALUE!</v>
      </c>
      <c r="I125" s="523">
        <v>3700</v>
      </c>
      <c r="J125" s="524">
        <v>0.28000000000000003</v>
      </c>
      <c r="K125" s="525">
        <v>4736</v>
      </c>
      <c r="L125" s="523" t="e">
        <v>#VALUE!</v>
      </c>
      <c r="M125" s="522">
        <v>106</v>
      </c>
    </row>
    <row r="126" spans="2:13" x14ac:dyDescent="0.2">
      <c r="B126" s="521">
        <v>350123</v>
      </c>
      <c r="C126" s="522" t="s">
        <v>611</v>
      </c>
      <c r="D126" s="516" t="s">
        <v>2</v>
      </c>
      <c r="E126" s="517" t="s">
        <v>794</v>
      </c>
      <c r="F126" s="522">
        <v>41.860134639999998</v>
      </c>
      <c r="G126" s="523">
        <v>2900</v>
      </c>
      <c r="H126" s="523">
        <v>121394.39</v>
      </c>
      <c r="I126" s="523">
        <v>2900</v>
      </c>
      <c r="J126" s="524">
        <v>0.28000000000000003</v>
      </c>
      <c r="K126" s="525">
        <v>3712</v>
      </c>
      <c r="L126" s="523">
        <v>155384.82</v>
      </c>
      <c r="M126" s="522">
        <v>57</v>
      </c>
    </row>
    <row r="127" spans="2:13" x14ac:dyDescent="0.2">
      <c r="B127" s="521">
        <v>350124</v>
      </c>
      <c r="C127" s="522" t="s">
        <v>795</v>
      </c>
      <c r="D127" s="516" t="s">
        <v>140</v>
      </c>
      <c r="E127" s="517" t="s">
        <v>796</v>
      </c>
      <c r="F127" s="522">
        <v>1</v>
      </c>
      <c r="G127" s="523">
        <v>803250</v>
      </c>
      <c r="H127" s="523">
        <v>803250</v>
      </c>
      <c r="I127" s="523">
        <v>803250</v>
      </c>
      <c r="J127" s="524">
        <v>0.28000000000000003</v>
      </c>
      <c r="K127" s="525">
        <v>1028160</v>
      </c>
      <c r="L127" s="523">
        <v>1028160</v>
      </c>
      <c r="M127" s="522">
        <v>1</v>
      </c>
    </row>
    <row r="128" spans="2:13" x14ac:dyDescent="0.2">
      <c r="B128" s="521">
        <v>350029</v>
      </c>
      <c r="C128" s="522" t="s">
        <v>797</v>
      </c>
      <c r="D128" s="516" t="s">
        <v>2</v>
      </c>
      <c r="E128" s="517" t="s">
        <v>798</v>
      </c>
      <c r="F128" s="522">
        <v>8.4745800000000004E-4</v>
      </c>
      <c r="G128" s="523">
        <v>103505850</v>
      </c>
      <c r="H128" s="523">
        <v>87716.82</v>
      </c>
      <c r="I128" s="523">
        <v>103505850</v>
      </c>
      <c r="J128" s="524">
        <v>0.28000000000000003</v>
      </c>
      <c r="K128" s="525">
        <v>132487488</v>
      </c>
      <c r="L128" s="523">
        <v>112277.53</v>
      </c>
      <c r="M128" s="522">
        <v>1</v>
      </c>
    </row>
    <row r="129" spans="2:13" x14ac:dyDescent="0.2">
      <c r="B129" s="521">
        <v>350128</v>
      </c>
      <c r="C129" s="522" t="s">
        <v>799</v>
      </c>
      <c r="D129" s="516" t="s">
        <v>140</v>
      </c>
      <c r="E129" s="517" t="s">
        <v>800</v>
      </c>
      <c r="F129" s="522">
        <v>1</v>
      </c>
      <c r="G129" s="523">
        <v>428400</v>
      </c>
      <c r="H129" s="523">
        <v>428400</v>
      </c>
      <c r="I129" s="523">
        <v>428400</v>
      </c>
      <c r="J129" s="524">
        <v>0.28000000000000003</v>
      </c>
      <c r="K129" s="525">
        <v>548352</v>
      </c>
      <c r="L129" s="523">
        <v>548352</v>
      </c>
      <c r="M129" s="522">
        <v>1</v>
      </c>
    </row>
    <row r="130" spans="2:13" x14ac:dyDescent="0.2">
      <c r="B130" s="521">
        <v>309259</v>
      </c>
      <c r="C130" s="522" t="s">
        <v>613</v>
      </c>
      <c r="D130" s="516" t="s">
        <v>456</v>
      </c>
      <c r="E130" s="517" t="s">
        <v>801</v>
      </c>
      <c r="F130" s="522">
        <v>5759431.7369999997</v>
      </c>
      <c r="G130" s="523">
        <v>0.01</v>
      </c>
      <c r="H130" s="523">
        <v>57594.32</v>
      </c>
      <c r="I130" s="523">
        <v>0.01</v>
      </c>
      <c r="J130" s="524">
        <v>0.28000000000000003</v>
      </c>
      <c r="K130" s="525">
        <v>0</v>
      </c>
      <c r="L130" s="523">
        <v>0</v>
      </c>
      <c r="M130" s="522">
        <v>2</v>
      </c>
    </row>
    <row r="131" spans="2:13" x14ac:dyDescent="0.2">
      <c r="B131" s="521">
        <v>350112</v>
      </c>
      <c r="C131" s="522" t="s">
        <v>567</v>
      </c>
      <c r="D131" s="516" t="s">
        <v>2</v>
      </c>
      <c r="E131" s="517" t="s">
        <v>802</v>
      </c>
      <c r="F131" s="522" t="e">
        <v>#VALUE!</v>
      </c>
      <c r="G131" s="523">
        <v>2000</v>
      </c>
      <c r="H131" s="523" t="e">
        <v>#VALUE!</v>
      </c>
      <c r="I131" s="523">
        <v>2000</v>
      </c>
      <c r="J131" s="524">
        <v>0.28000000000000003</v>
      </c>
      <c r="K131" s="525">
        <v>2560</v>
      </c>
      <c r="L131" s="523" t="e">
        <v>#VALUE!</v>
      </c>
      <c r="M131" s="522">
        <v>71</v>
      </c>
    </row>
    <row r="132" spans="2:13" x14ac:dyDescent="0.2">
      <c r="B132" s="521">
        <v>300042</v>
      </c>
      <c r="C132" s="522" t="s">
        <v>803</v>
      </c>
      <c r="D132" s="516" t="s">
        <v>114</v>
      </c>
      <c r="E132" s="517" t="s">
        <v>804</v>
      </c>
      <c r="F132" s="522">
        <v>0</v>
      </c>
      <c r="G132" s="523">
        <v>32570</v>
      </c>
      <c r="H132" s="523">
        <v>0</v>
      </c>
      <c r="I132" s="523">
        <v>32570</v>
      </c>
      <c r="J132" s="524">
        <v>0.28000000000000003</v>
      </c>
      <c r="K132" s="525">
        <v>41690</v>
      </c>
      <c r="L132" s="523">
        <v>0</v>
      </c>
      <c r="M132" s="522">
        <v>1</v>
      </c>
    </row>
    <row r="133" spans="2:13" x14ac:dyDescent="0.2">
      <c r="B133" s="521">
        <v>350108</v>
      </c>
      <c r="C133" s="522" t="s">
        <v>651</v>
      </c>
      <c r="D133" s="516" t="s">
        <v>2</v>
      </c>
      <c r="E133" s="517" t="s">
        <v>805</v>
      </c>
      <c r="F133" s="522">
        <v>1.6457189000000001E-2</v>
      </c>
      <c r="G133" s="523">
        <v>48900</v>
      </c>
      <c r="H133" s="523">
        <v>804.76</v>
      </c>
      <c r="I133" s="523">
        <v>48900</v>
      </c>
      <c r="J133" s="524">
        <v>0.28000000000000003</v>
      </c>
      <c r="K133" s="525">
        <v>62592</v>
      </c>
      <c r="L133" s="523">
        <v>1030.0899999999999</v>
      </c>
      <c r="M133" s="522">
        <v>10</v>
      </c>
    </row>
    <row r="134" spans="2:13" x14ac:dyDescent="0.2">
      <c r="B134" s="521">
        <v>350031</v>
      </c>
      <c r="C134" s="522" t="s">
        <v>806</v>
      </c>
      <c r="D134" s="516" t="s">
        <v>2</v>
      </c>
      <c r="E134" s="517" t="s">
        <v>807</v>
      </c>
      <c r="F134" s="522">
        <v>0.85726742</v>
      </c>
      <c r="G134" s="523">
        <v>4500</v>
      </c>
      <c r="H134" s="523">
        <v>3857.7</v>
      </c>
      <c r="I134" s="523">
        <v>4500</v>
      </c>
      <c r="J134" s="524">
        <v>0.28000000000000003</v>
      </c>
      <c r="K134" s="525">
        <v>5760</v>
      </c>
      <c r="L134" s="523">
        <v>4937.8599999999997</v>
      </c>
      <c r="M134" s="522">
        <v>2</v>
      </c>
    </row>
    <row r="135" spans="2:13" x14ac:dyDescent="0.2">
      <c r="B135" s="521">
        <v>350121</v>
      </c>
      <c r="C135" s="522" t="s">
        <v>808</v>
      </c>
      <c r="D135" s="516" t="s">
        <v>2</v>
      </c>
      <c r="E135" s="517" t="s">
        <v>809</v>
      </c>
      <c r="F135" s="522">
        <v>3.3898309999999998E-3</v>
      </c>
      <c r="G135" s="523">
        <v>203900</v>
      </c>
      <c r="H135" s="523">
        <v>691.19</v>
      </c>
      <c r="I135" s="523">
        <v>203900</v>
      </c>
      <c r="J135" s="524">
        <v>0.28000000000000003</v>
      </c>
      <c r="K135" s="525">
        <v>260992</v>
      </c>
      <c r="L135" s="523">
        <v>884.72</v>
      </c>
      <c r="M135" s="522">
        <v>1</v>
      </c>
    </row>
    <row r="136" spans="2:13" x14ac:dyDescent="0.2">
      <c r="B136" s="521">
        <v>350115</v>
      </c>
      <c r="C136" s="522" t="s">
        <v>612</v>
      </c>
      <c r="D136" s="516" t="s">
        <v>2</v>
      </c>
      <c r="E136" s="517" t="s">
        <v>810</v>
      </c>
      <c r="F136" s="522">
        <v>30.070054020000001</v>
      </c>
      <c r="G136" s="523">
        <v>500</v>
      </c>
      <c r="H136" s="523">
        <v>15035.03</v>
      </c>
      <c r="I136" s="523">
        <v>500</v>
      </c>
      <c r="J136" s="524">
        <v>0.28000000000000003</v>
      </c>
      <c r="K136" s="525">
        <v>640</v>
      </c>
      <c r="L136" s="523">
        <v>19244.830000000002</v>
      </c>
      <c r="M136" s="522">
        <v>76</v>
      </c>
    </row>
    <row r="137" spans="2:13" x14ac:dyDescent="0.2">
      <c r="B137" s="521">
        <v>350120</v>
      </c>
      <c r="C137" s="522" t="s">
        <v>811</v>
      </c>
      <c r="D137" s="516" t="s">
        <v>2</v>
      </c>
      <c r="E137" s="517" t="s">
        <v>812</v>
      </c>
      <c r="F137" s="522">
        <v>3.4067799999999999E-3</v>
      </c>
      <c r="G137" s="523">
        <v>2758400</v>
      </c>
      <c r="H137" s="523">
        <v>9397.26</v>
      </c>
      <c r="I137" s="523">
        <v>2758400</v>
      </c>
      <c r="J137" s="524">
        <v>0.28000000000000003</v>
      </c>
      <c r="K137" s="525">
        <v>3530752</v>
      </c>
      <c r="L137" s="523">
        <v>12028.49</v>
      </c>
      <c r="M137" s="522">
        <v>1</v>
      </c>
    </row>
    <row r="138" spans="2:13" x14ac:dyDescent="0.2">
      <c r="B138" s="521">
        <v>350106</v>
      </c>
      <c r="C138" s="522" t="s">
        <v>649</v>
      </c>
      <c r="D138" s="516" t="s">
        <v>2</v>
      </c>
      <c r="E138" s="517" t="s">
        <v>813</v>
      </c>
      <c r="F138" s="522">
        <v>0.26331501800000001</v>
      </c>
      <c r="G138" s="523">
        <v>18403</v>
      </c>
      <c r="H138" s="523">
        <v>4845.79</v>
      </c>
      <c r="I138" s="523">
        <v>18403</v>
      </c>
      <c r="J138" s="524">
        <v>0.28000000000000003</v>
      </c>
      <c r="K138" s="525">
        <v>23556</v>
      </c>
      <c r="L138" s="523">
        <v>6202.65</v>
      </c>
      <c r="M138" s="522">
        <v>10</v>
      </c>
    </row>
    <row r="139" spans="2:13" x14ac:dyDescent="0.2">
      <c r="B139" s="527">
        <v>309251</v>
      </c>
      <c r="C139" s="522" t="s">
        <v>454</v>
      </c>
      <c r="D139" s="516" t="s">
        <v>114</v>
      </c>
      <c r="E139" s="517" t="s">
        <v>814</v>
      </c>
      <c r="F139" s="522">
        <v>6.0720000000000001</v>
      </c>
      <c r="G139" s="523">
        <v>121500</v>
      </c>
      <c r="H139" s="523">
        <v>737748</v>
      </c>
      <c r="I139" s="523">
        <v>121500</v>
      </c>
      <c r="J139" s="524">
        <v>0.28000000000000003</v>
      </c>
      <c r="K139" s="525">
        <v>155520</v>
      </c>
      <c r="L139" s="523">
        <v>944317.43999999994</v>
      </c>
      <c r="M139" s="522">
        <v>6</v>
      </c>
    </row>
    <row r="140" spans="2:13" x14ac:dyDescent="0.2">
      <c r="B140" s="521">
        <v>309257</v>
      </c>
      <c r="C140" s="522" t="s">
        <v>627</v>
      </c>
      <c r="D140" s="516" t="s">
        <v>114</v>
      </c>
      <c r="E140" s="517" t="s">
        <v>815</v>
      </c>
      <c r="F140" s="522">
        <v>759.83333330000005</v>
      </c>
      <c r="G140" s="523">
        <v>6000</v>
      </c>
      <c r="H140" s="523">
        <v>4559000</v>
      </c>
      <c r="I140" s="523">
        <v>6000</v>
      </c>
      <c r="J140" s="524">
        <v>0.28000000000000003</v>
      </c>
      <c r="K140" s="525">
        <v>7680</v>
      </c>
      <c r="L140" s="523">
        <v>5835520</v>
      </c>
      <c r="M140" s="522">
        <v>20</v>
      </c>
    </row>
    <row r="141" spans="2:13" x14ac:dyDescent="0.2">
      <c r="B141" s="527">
        <v>309251</v>
      </c>
      <c r="C141" s="522" t="s">
        <v>626</v>
      </c>
      <c r="D141" s="516" t="s">
        <v>114</v>
      </c>
      <c r="E141" s="517" t="s">
        <v>816</v>
      </c>
      <c r="F141" s="522">
        <v>28.3</v>
      </c>
      <c r="G141" s="523">
        <v>150000</v>
      </c>
      <c r="H141" s="523">
        <v>4245000</v>
      </c>
      <c r="I141" s="523">
        <v>150000</v>
      </c>
      <c r="J141" s="524">
        <v>0.28000000000000003</v>
      </c>
      <c r="K141" s="525">
        <v>192000</v>
      </c>
      <c r="L141" s="523">
        <v>5433600</v>
      </c>
      <c r="M141" s="522">
        <v>20</v>
      </c>
    </row>
    <row r="142" spans="2:13" x14ac:dyDescent="0.2">
      <c r="B142" s="147"/>
      <c r="C142" s="147"/>
      <c r="D142" s="147"/>
      <c r="E142" s="147"/>
      <c r="F142" s="147"/>
      <c r="G142" s="147"/>
      <c r="H142" s="147"/>
      <c r="I142" s="147"/>
      <c r="J142" s="504"/>
      <c r="K142" s="504"/>
      <c r="L142" s="147"/>
      <c r="M142" s="147"/>
    </row>
    <row r="143" spans="2:13" x14ac:dyDescent="0.2">
      <c r="B143" s="147"/>
      <c r="C143" s="147"/>
      <c r="D143" s="147"/>
      <c r="E143" s="147"/>
      <c r="F143" s="147"/>
      <c r="G143" s="147"/>
      <c r="H143" s="147"/>
      <c r="I143" s="147"/>
      <c r="J143" s="504"/>
      <c r="K143" s="504"/>
      <c r="L143" s="147"/>
      <c r="M143" s="147"/>
    </row>
    <row r="144" spans="2:13" ht="17" x14ac:dyDescent="0.2">
      <c r="B144" s="505" t="s">
        <v>817</v>
      </c>
      <c r="C144" s="506" t="s">
        <v>453</v>
      </c>
      <c r="D144" s="147"/>
      <c r="E144" s="147"/>
      <c r="F144" s="147"/>
      <c r="G144" s="147"/>
      <c r="H144" s="507">
        <v>16079385.49</v>
      </c>
      <c r="I144" s="147"/>
      <c r="J144" s="504"/>
      <c r="K144" s="504"/>
      <c r="L144" s="507">
        <v>20581613.440000001</v>
      </c>
      <c r="M144" s="147"/>
    </row>
    <row r="145" spans="2:13" x14ac:dyDescent="0.2">
      <c r="B145" s="508" t="s">
        <v>655</v>
      </c>
      <c r="C145" s="509" t="s">
        <v>656</v>
      </c>
      <c r="D145" s="510" t="s">
        <v>657</v>
      </c>
      <c r="E145" s="511"/>
      <c r="F145" s="509" t="s">
        <v>658</v>
      </c>
      <c r="G145" s="509" t="s">
        <v>659</v>
      </c>
      <c r="H145" s="512" t="s">
        <v>5</v>
      </c>
      <c r="I145" s="509" t="s">
        <v>660</v>
      </c>
      <c r="J145" s="513" t="s">
        <v>661</v>
      </c>
      <c r="K145" s="513" t="s">
        <v>662</v>
      </c>
      <c r="L145" s="512" t="s">
        <v>663</v>
      </c>
      <c r="M145" s="509"/>
    </row>
    <row r="146" spans="2:13" x14ac:dyDescent="0.2">
      <c r="B146" s="527">
        <v>450116</v>
      </c>
      <c r="C146" s="515" t="s">
        <v>455</v>
      </c>
      <c r="D146" s="516" t="s">
        <v>456</v>
      </c>
      <c r="E146" s="526" t="s">
        <v>789</v>
      </c>
      <c r="F146" s="515">
        <v>12473813.539999999</v>
      </c>
      <c r="G146" s="518">
        <v>0</v>
      </c>
      <c r="H146" s="518">
        <v>0</v>
      </c>
      <c r="I146" s="518">
        <v>0</v>
      </c>
      <c r="J146" s="519">
        <v>0.28000000000000003</v>
      </c>
      <c r="K146" s="520">
        <v>0</v>
      </c>
      <c r="L146" s="518">
        <v>0</v>
      </c>
      <c r="M146" s="515">
        <v>63</v>
      </c>
    </row>
    <row r="147" spans="2:13" x14ac:dyDescent="0.2">
      <c r="B147" s="527">
        <v>450116</v>
      </c>
      <c r="C147" s="522" t="s">
        <v>455</v>
      </c>
      <c r="D147" s="516" t="s">
        <v>456</v>
      </c>
      <c r="E147" s="526" t="s">
        <v>789</v>
      </c>
      <c r="F147" s="522">
        <v>26019359.18</v>
      </c>
      <c r="G147" s="523"/>
      <c r="H147" s="523">
        <v>0</v>
      </c>
      <c r="I147" s="523"/>
      <c r="J147" s="524">
        <v>0.28000000000000003</v>
      </c>
      <c r="K147" s="525">
        <v>0</v>
      </c>
      <c r="L147" s="523">
        <v>0</v>
      </c>
      <c r="M147" s="522">
        <v>17</v>
      </c>
    </row>
    <row r="148" spans="2:13" x14ac:dyDescent="0.2">
      <c r="B148" s="527">
        <v>450115</v>
      </c>
      <c r="C148" s="522" t="s">
        <v>458</v>
      </c>
      <c r="D148" s="516" t="s">
        <v>456</v>
      </c>
      <c r="E148" s="526" t="s">
        <v>818</v>
      </c>
      <c r="F148" s="522">
        <v>12473813.539999999</v>
      </c>
      <c r="G148" s="523">
        <v>0</v>
      </c>
      <c r="H148" s="523">
        <v>0</v>
      </c>
      <c r="I148" s="523">
        <v>0</v>
      </c>
      <c r="J148" s="524">
        <v>0.28000000000000003</v>
      </c>
      <c r="K148" s="525">
        <v>0</v>
      </c>
      <c r="L148" s="523">
        <v>0</v>
      </c>
      <c r="M148" s="522">
        <v>63</v>
      </c>
    </row>
    <row r="149" spans="2:13" x14ac:dyDescent="0.2">
      <c r="B149" s="527">
        <v>450115</v>
      </c>
      <c r="C149" s="522" t="s">
        <v>458</v>
      </c>
      <c r="D149" s="516" t="s">
        <v>456</v>
      </c>
      <c r="E149" s="526" t="s">
        <v>818</v>
      </c>
      <c r="F149" s="522">
        <v>26019359.18</v>
      </c>
      <c r="G149" s="523"/>
      <c r="H149" s="523">
        <v>0</v>
      </c>
      <c r="I149" s="523"/>
      <c r="J149" s="524">
        <v>0.28000000000000003</v>
      </c>
      <c r="K149" s="525">
        <v>0</v>
      </c>
      <c r="L149" s="523">
        <v>0</v>
      </c>
      <c r="M149" s="522">
        <v>17</v>
      </c>
    </row>
    <row r="150" spans="2:13" x14ac:dyDescent="0.2">
      <c r="B150" s="521">
        <v>450117</v>
      </c>
      <c r="C150" s="522" t="s">
        <v>454</v>
      </c>
      <c r="D150" s="516" t="s">
        <v>2</v>
      </c>
      <c r="E150" s="517" t="s">
        <v>819</v>
      </c>
      <c r="F150" s="522">
        <v>6.4912805650000003</v>
      </c>
      <c r="G150" s="523">
        <v>121500</v>
      </c>
      <c r="H150" s="523">
        <v>788690.59</v>
      </c>
      <c r="I150" s="523">
        <v>121500</v>
      </c>
      <c r="J150" s="524">
        <v>0.28000000000000003</v>
      </c>
      <c r="K150" s="525">
        <v>155520</v>
      </c>
      <c r="L150" s="523">
        <v>1009523.95</v>
      </c>
      <c r="M150" s="522">
        <v>76</v>
      </c>
    </row>
    <row r="151" spans="2:13" x14ac:dyDescent="0.2">
      <c r="B151" s="521">
        <v>450004</v>
      </c>
      <c r="C151" s="522" t="s">
        <v>820</v>
      </c>
      <c r="D151" s="516" t="s">
        <v>286</v>
      </c>
      <c r="E151" s="517" t="s">
        <v>821</v>
      </c>
      <c r="F151" s="522">
        <v>1</v>
      </c>
      <c r="G151" s="523">
        <v>297500</v>
      </c>
      <c r="H151" s="523">
        <v>297500</v>
      </c>
      <c r="I151" s="523">
        <v>297500</v>
      </c>
      <c r="J151" s="524">
        <v>0.28000000000000003</v>
      </c>
      <c r="K151" s="525">
        <v>380800</v>
      </c>
      <c r="L151" s="523">
        <v>380800</v>
      </c>
      <c r="M151" s="522">
        <v>1</v>
      </c>
    </row>
    <row r="152" spans="2:13" x14ac:dyDescent="0.2">
      <c r="B152" s="527">
        <v>450001</v>
      </c>
      <c r="C152" s="522" t="s">
        <v>639</v>
      </c>
      <c r="D152" s="516" t="s">
        <v>286</v>
      </c>
      <c r="E152" s="526" t="s">
        <v>822</v>
      </c>
      <c r="F152" s="522">
        <v>5.8333333000000001E-2</v>
      </c>
      <c r="G152" s="523">
        <v>199920</v>
      </c>
      <c r="H152" s="523">
        <v>11662</v>
      </c>
      <c r="I152" s="523">
        <v>199920</v>
      </c>
      <c r="J152" s="524">
        <v>0.28000000000000003</v>
      </c>
      <c r="K152" s="525">
        <v>255898</v>
      </c>
      <c r="L152" s="523">
        <v>14927.38</v>
      </c>
      <c r="M152" s="522">
        <v>10</v>
      </c>
    </row>
    <row r="153" spans="2:13" x14ac:dyDescent="0.2">
      <c r="B153" s="527">
        <v>450001</v>
      </c>
      <c r="C153" s="522" t="s">
        <v>639</v>
      </c>
      <c r="D153" s="516" t="s">
        <v>286</v>
      </c>
      <c r="E153" s="526" t="s">
        <v>822</v>
      </c>
      <c r="F153" s="522">
        <v>2.5000000000000001E-2</v>
      </c>
      <c r="G153" s="523">
        <v>448392</v>
      </c>
      <c r="H153" s="523">
        <v>11209.8</v>
      </c>
      <c r="I153" s="523">
        <v>448392</v>
      </c>
      <c r="J153" s="524">
        <v>0.28000000000000003</v>
      </c>
      <c r="K153" s="525">
        <v>573942</v>
      </c>
      <c r="L153" s="523">
        <v>14348.55</v>
      </c>
      <c r="M153" s="522">
        <v>12</v>
      </c>
    </row>
    <row r="154" spans="2:13" x14ac:dyDescent="0.2">
      <c r="B154" s="527">
        <v>450008</v>
      </c>
      <c r="C154" s="522" t="s">
        <v>823</v>
      </c>
      <c r="D154" s="516" t="s">
        <v>286</v>
      </c>
      <c r="E154" s="526" t="s">
        <v>824</v>
      </c>
      <c r="F154" s="522">
        <v>0</v>
      </c>
      <c r="G154" s="523">
        <v>495791</v>
      </c>
      <c r="H154" s="523">
        <v>0</v>
      </c>
      <c r="I154" s="523">
        <v>495791</v>
      </c>
      <c r="J154" s="524">
        <v>0.28000000000000003</v>
      </c>
      <c r="K154" s="525">
        <v>634612</v>
      </c>
      <c r="L154" s="523">
        <v>0</v>
      </c>
      <c r="M154" s="522">
        <v>1</v>
      </c>
    </row>
    <row r="155" spans="2:13" x14ac:dyDescent="0.2">
      <c r="B155" s="527">
        <v>450008</v>
      </c>
      <c r="C155" s="522" t="s">
        <v>823</v>
      </c>
      <c r="D155" s="516" t="s">
        <v>286</v>
      </c>
      <c r="E155" s="526" t="s">
        <v>824</v>
      </c>
      <c r="F155" s="522">
        <v>1</v>
      </c>
      <c r="G155" s="523">
        <v>2023000</v>
      </c>
      <c r="H155" s="523">
        <v>2023000</v>
      </c>
      <c r="I155" s="523">
        <v>2023000</v>
      </c>
      <c r="J155" s="524">
        <v>0.28000000000000003</v>
      </c>
      <c r="K155" s="525">
        <v>2589440</v>
      </c>
      <c r="L155" s="523">
        <v>2589440</v>
      </c>
      <c r="M155" s="522">
        <v>1</v>
      </c>
    </row>
    <row r="156" spans="2:13" x14ac:dyDescent="0.2">
      <c r="B156" s="527">
        <v>450008</v>
      </c>
      <c r="C156" s="522" t="s">
        <v>823</v>
      </c>
      <c r="D156" s="516" t="s">
        <v>286</v>
      </c>
      <c r="E156" s="526" t="s">
        <v>824</v>
      </c>
      <c r="F156" s="522">
        <v>1</v>
      </c>
      <c r="G156" s="523">
        <v>1309000</v>
      </c>
      <c r="H156" s="523">
        <v>1309000</v>
      </c>
      <c r="I156" s="523">
        <v>1309000</v>
      </c>
      <c r="J156" s="524">
        <v>0.28000000000000003</v>
      </c>
      <c r="K156" s="525">
        <v>1675520</v>
      </c>
      <c r="L156" s="523">
        <v>1675520</v>
      </c>
      <c r="M156" s="522">
        <v>1</v>
      </c>
    </row>
    <row r="157" spans="2:13" x14ac:dyDescent="0.2">
      <c r="B157" s="527">
        <v>450008</v>
      </c>
      <c r="C157" s="522" t="s">
        <v>823</v>
      </c>
      <c r="D157" s="516" t="s">
        <v>286</v>
      </c>
      <c r="E157" s="526" t="s">
        <v>824</v>
      </c>
      <c r="F157" s="522">
        <v>1</v>
      </c>
      <c r="G157" s="523">
        <v>2261000</v>
      </c>
      <c r="H157" s="523">
        <v>2261000</v>
      </c>
      <c r="I157" s="523">
        <v>2261000</v>
      </c>
      <c r="J157" s="524">
        <v>0.28000000000000003</v>
      </c>
      <c r="K157" s="525">
        <v>2894080</v>
      </c>
      <c r="L157" s="523">
        <v>2894080</v>
      </c>
      <c r="M157" s="522">
        <v>1</v>
      </c>
    </row>
    <row r="158" spans="2:13" x14ac:dyDescent="0.2">
      <c r="B158" s="527">
        <v>450008</v>
      </c>
      <c r="C158" s="522" t="s">
        <v>823</v>
      </c>
      <c r="D158" s="516" t="s">
        <v>286</v>
      </c>
      <c r="E158" s="526" t="s">
        <v>824</v>
      </c>
      <c r="F158" s="522">
        <v>1</v>
      </c>
      <c r="G158" s="523">
        <v>1487500</v>
      </c>
      <c r="H158" s="523">
        <v>1487500</v>
      </c>
      <c r="I158" s="523">
        <v>1487500</v>
      </c>
      <c r="J158" s="524">
        <v>0.28000000000000003</v>
      </c>
      <c r="K158" s="525">
        <v>1904000</v>
      </c>
      <c r="L158" s="523">
        <v>1904000</v>
      </c>
      <c r="M158" s="522">
        <v>1</v>
      </c>
    </row>
    <row r="159" spans="2:13" x14ac:dyDescent="0.2">
      <c r="B159" s="521">
        <v>450003</v>
      </c>
      <c r="C159" s="522" t="s">
        <v>642</v>
      </c>
      <c r="D159" s="516" t="s">
        <v>286</v>
      </c>
      <c r="E159" s="517" t="s">
        <v>825</v>
      </c>
      <c r="F159" s="522">
        <v>0</v>
      </c>
      <c r="G159" s="523">
        <v>17360</v>
      </c>
      <c r="H159" s="523">
        <v>0</v>
      </c>
      <c r="I159" s="523">
        <v>17360</v>
      </c>
      <c r="J159" s="524">
        <v>0.28000000000000003</v>
      </c>
      <c r="K159" s="525">
        <v>22221</v>
      </c>
      <c r="L159" s="523">
        <v>0</v>
      </c>
      <c r="M159" s="522">
        <v>20</v>
      </c>
    </row>
    <row r="160" spans="2:13" x14ac:dyDescent="0.2">
      <c r="B160" s="521">
        <v>490008</v>
      </c>
      <c r="C160" s="522" t="s">
        <v>529</v>
      </c>
      <c r="D160" s="516" t="s">
        <v>2</v>
      </c>
      <c r="E160" s="517" t="s">
        <v>826</v>
      </c>
      <c r="F160" s="522">
        <v>0.182190041</v>
      </c>
      <c r="G160" s="523">
        <v>255000</v>
      </c>
      <c r="H160" s="523">
        <v>46458.46</v>
      </c>
      <c r="I160" s="523">
        <v>255000</v>
      </c>
      <c r="J160" s="524">
        <v>0.28000000000000003</v>
      </c>
      <c r="K160" s="525">
        <v>326400</v>
      </c>
      <c r="L160" s="523">
        <v>59466.83</v>
      </c>
      <c r="M160" s="522">
        <v>13</v>
      </c>
    </row>
    <row r="161" spans="2:13" x14ac:dyDescent="0.2">
      <c r="B161" s="521">
        <v>450009</v>
      </c>
      <c r="C161" s="522" t="s">
        <v>827</v>
      </c>
      <c r="D161" s="516" t="s">
        <v>286</v>
      </c>
      <c r="E161" s="517" t="s">
        <v>828</v>
      </c>
      <c r="F161" s="522">
        <v>1</v>
      </c>
      <c r="G161" s="523">
        <v>476000</v>
      </c>
      <c r="H161" s="523">
        <v>476000</v>
      </c>
      <c r="I161" s="523">
        <v>476000</v>
      </c>
      <c r="J161" s="524">
        <v>0.28000000000000003</v>
      </c>
      <c r="K161" s="525">
        <v>609280</v>
      </c>
      <c r="L161" s="523">
        <v>609280</v>
      </c>
      <c r="M161" s="522">
        <v>1</v>
      </c>
    </row>
    <row r="162" spans="2:13" x14ac:dyDescent="0.2">
      <c r="B162" s="521">
        <v>450118</v>
      </c>
      <c r="C162" s="522" t="s">
        <v>585</v>
      </c>
      <c r="D162" s="516" t="s">
        <v>114</v>
      </c>
      <c r="E162" s="517" t="s">
        <v>829</v>
      </c>
      <c r="F162" s="522">
        <v>6.1538462000000002E-2</v>
      </c>
      <c r="G162" s="523">
        <v>12100</v>
      </c>
      <c r="H162" s="523">
        <v>744.62</v>
      </c>
      <c r="I162" s="523">
        <v>12100</v>
      </c>
      <c r="J162" s="524">
        <v>0.28000000000000003</v>
      </c>
      <c r="K162" s="525">
        <v>15488</v>
      </c>
      <c r="L162" s="523">
        <v>953.11</v>
      </c>
      <c r="M162" s="522">
        <v>1</v>
      </c>
    </row>
    <row r="163" spans="2:13" x14ac:dyDescent="0.2">
      <c r="B163" s="521">
        <v>450119</v>
      </c>
      <c r="C163" s="522" t="s">
        <v>530</v>
      </c>
      <c r="D163" s="516" t="s">
        <v>114</v>
      </c>
      <c r="E163" s="517" t="s">
        <v>830</v>
      </c>
      <c r="F163" s="522">
        <v>3.0077578979999999</v>
      </c>
      <c r="G163" s="523">
        <v>12100</v>
      </c>
      <c r="H163" s="523">
        <v>36393.870000000003</v>
      </c>
      <c r="I163" s="523">
        <v>12100</v>
      </c>
      <c r="J163" s="524">
        <v>0.28000000000000003</v>
      </c>
      <c r="K163" s="525">
        <v>15488</v>
      </c>
      <c r="L163" s="523">
        <v>46584.15</v>
      </c>
      <c r="M163" s="522">
        <v>12</v>
      </c>
    </row>
    <row r="164" spans="2:13" x14ac:dyDescent="0.2">
      <c r="B164" s="521">
        <v>450101</v>
      </c>
      <c r="C164" s="522" t="s">
        <v>626</v>
      </c>
      <c r="D164" s="516" t="s">
        <v>286</v>
      </c>
      <c r="E164" s="517" t="s">
        <v>831</v>
      </c>
      <c r="F164" s="522">
        <v>65.331783880000003</v>
      </c>
      <c r="G164" s="523">
        <v>112200</v>
      </c>
      <c r="H164" s="523">
        <v>7330226.1500000004</v>
      </c>
      <c r="I164" s="523">
        <v>112200</v>
      </c>
      <c r="J164" s="524">
        <v>0.28000000000000003</v>
      </c>
      <c r="K164" s="525">
        <v>143616</v>
      </c>
      <c r="L164" s="523">
        <v>9382689.4700000007</v>
      </c>
      <c r="M164" s="5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</vt:lpstr>
      <vt:lpstr>apus</vt:lpstr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Mayor</dc:creator>
  <cp:lastModifiedBy>Gerardo Mayor</cp:lastModifiedBy>
  <dcterms:created xsi:type="dcterms:W3CDTF">2025-09-07T00:05:56Z</dcterms:created>
  <dcterms:modified xsi:type="dcterms:W3CDTF">2025-09-11T01:07:31Z</dcterms:modified>
</cp:coreProperties>
</file>